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5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FY Summary" sheetId="2" state="visible" r:id="rId4"/>
    <sheet name="Month Lookup" sheetId="3" state="visible" r:id="rId5"/>
    <sheet name="Seasonality" sheetId="4" state="visible" r:id="rId6"/>
    <sheet name="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4" authorId="0">
      <text>
        <r>
          <rPr>
            <sz val="10"/>
            <rFont val="Arial"/>
            <family val="2"/>
          </rPr>
          <t xml:space="preserve">NHS constitutional standard: 95% of patients admitted, transferred or discharged within 4 hours. Taken from the source spreadsheet.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Source: NHS England, Monthly A&amp;E Time Series September 2026 (published 8 Oct 2026). Months before June 2015 were estimated by NHS England from weekly data.</t>
        </r>
      </text>
    </comment>
  </commentList>
</comments>
</file>

<file path=xl/sharedStrings.xml><?xml version="1.0" encoding="utf-8"?>
<sst xmlns="http://schemas.openxmlformats.org/spreadsheetml/2006/main" count="881" uniqueCount="295">
  <si>
    <t xml:space="preserve">NHS England A&amp;E Performance Analysis</t>
  </si>
  <si>
    <t xml:space="preserve">Purpose</t>
  </si>
  <si>
    <t xml:space="preserve">Track A&amp;E demand, the 4-hour standard and long waits for a bed in England, from November 2010 to the latest month.</t>
  </si>
  <si>
    <t xml:space="preserve">Source</t>
  </si>
  <si>
    <t xml:space="preserve">NHS England, Monthly A&amp;E Time Series September 2026, published 8 October 2026. https://www.england.nhs.uk/statistics/statistical-work-areas/ae-waiting-times-and-activity/</t>
  </si>
  <si>
    <t xml:space="preserve">Coverage</t>
  </si>
  <si>
    <t xml:space="preserve">Nov 2010 to Sep 2026 (191 months), England, all NHS and independent sector providers.</t>
  </si>
  <si>
    <t xml:space="preserve">Sheets</t>
  </si>
  <si>
    <t xml:space="preserve">Data: one row per month, with calculated % columns.  FY Summary: totals and % by financial year, with charts.  Month Lookup: choose a month and compare with a year earlier.  Seasonality: average by calendar month over a chosen window.</t>
  </si>
  <si>
    <t xml:space="preserve">Yellow cells</t>
  </si>
  <si>
    <t xml:space="preserve">Inputs you can change. Blue text = typed-in value; black = formula.</t>
  </si>
  <si>
    <t xml:space="preserve">Type 1</t>
  </si>
  <si>
    <t xml:space="preserve">Major emergency departments (consultant-led, 24-hour). Type 3 = urgent treatment centres and minor injury units.</t>
  </si>
  <si>
    <t xml:space="preserve">Caveat 1</t>
  </si>
  <si>
    <t xml:space="preserve">Nov 2010 to May 2015 were estimated by NHS England from weekly returns.</t>
  </si>
  <si>
    <t xml:space="preserve">Caveat 2</t>
  </si>
  <si>
    <t xml:space="preserve">May 2019 to May 2023: 14 trusts testing new standards (CRS) are missing from the 4-hour figures, so performance in this period is not fully comparable.</t>
  </si>
  <si>
    <t xml:space="preserve">Caveat 3</t>
  </si>
  <si>
    <t xml:space="preserve">From Aug 2020 attendances include booked appointments.</t>
  </si>
  <si>
    <t xml:space="preserve">Caveat 4</t>
  </si>
  <si>
    <t xml:space="preserve">Aug 2022 to Feb 2023: a cyber-attack caused a shortfall in Type 3 attendances.</t>
  </si>
  <si>
    <t xml:space="preserve">Licence</t>
  </si>
  <si>
    <t xml:space="preserve">Contains public sector information licensed under the Open Government Licence v3.0.</t>
  </si>
  <si>
    <t xml:space="preserve">A&amp;E demand and 4-hour performance by NHS financial year</t>
  </si>
  <si>
    <t xml:space="preserve">All figures are formulas over the Data sheet (SUMIFS / COUNTIFS). Years with fewer than 12 months of data are marked as partial.</t>
  </si>
  <si>
    <t xml:space="preserve">Financial year</t>
  </si>
  <si>
    <t xml:space="preserve">Months of data</t>
  </si>
  <si>
    <t xml:space="preserve">Total attendances</t>
  </si>
  <si>
    <t xml:space="preserve">Change vs previous year</t>
  </si>
  <si>
    <t xml:space="preserve">Type 1 attendances</t>
  </si>
  <si>
    <t xml:space="preserve">Emergency admissions</t>
  </si>
  <si>
    <t xml:space="preserve">% within 4h (all)</t>
  </si>
  <si>
    <t xml:space="preserve">% within 4h (Type 1)</t>
  </si>
  <si>
    <t xml:space="preserve">Change in Type 1 % (points)</t>
  </si>
  <si>
    <t xml:space="preserve">12h waits for a bed</t>
  </si>
  <si>
    <t xml:space="preserve">Status</t>
  </si>
  <si>
    <t xml:space="preserve">4-hour standard</t>
  </si>
  <si>
    <t xml:space="preserve">2010-11</t>
  </si>
  <si>
    <t xml:space="preserve">Type 1 % below the standard is shown in red.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</si>
  <si>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</si>
  <si>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</si>
  <si>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</si>
  <si>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</si>
  <si>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</si>
  <si>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</si>
  <si>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</si>
  <si>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</si>
  <si>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</si>
  <si>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</si>
  <si>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2021-22</t>
  </si>
  <si>
    <t xml:space="preserve">2022-23</t>
  </si>
  <si>
    <t xml:space="preserve">2023-24</t>
  </si>
  <si>
    <t xml:space="preserve">2024-25</t>
  </si>
  <si>
    <t xml:space="preserve">2025-26</t>
  </si>
  <si>
    <t xml:space="preserve">2026-27</t>
  </si>
  <si>
    <t xml:space="preserve">Month lookup: pick any month and compare with a year earlier</t>
  </si>
  <si>
    <t xml:space="preserve">Change the yellow cell (drop-down). Everything else is INDEX/MATCH over the Data sheet.</t>
  </si>
  <si>
    <t xml:space="preserve">Selected month</t>
  </si>
  <si>
    <t xml:space="preserve">Sep 2026</t>
  </si>
  <si>
    <t xml:space="preserve">Row of selected month</t>
  </si>
  <si>
    <t xml:space="preserve">Same month last year</t>
  </si>
  <si>
    <t xml:space="preserve">Row of last year</t>
  </si>
  <si>
    <t xml:space="preserve">Measure</t>
  </si>
  <si>
    <t xml:space="preserve">Change</t>
  </si>
  <si>
    <t xml:space="preserve">Type 1 admission rate</t>
  </si>
  <si>
    <t xml:space="preserve">12h waits after decision to admit</t>
  </si>
  <si>
    <t xml:space="preserve">Data caveat for selected month</t>
  </si>
  <si>
    <t xml:space="preserve">Seasonal pattern: average by calendar month</t>
  </si>
  <si>
    <t xml:space="preserve">AVERAGEIFS over the months inside the window below. Change the yellow dates to test other periods.</t>
  </si>
  <si>
    <t xml:space="preserve">Window start</t>
  </si>
  <si>
    <t xml:space="preserve">Default: the four most recent complete financial years (2022-23 to 2025-26).</t>
  </si>
  <si>
    <t xml:space="preserve">Window end</t>
  </si>
  <si>
    <t xml:space="preserve">Months in window</t>
  </si>
  <si>
    <t xml:space="preserve">Month</t>
  </si>
  <si>
    <t xml:space="preserve">Avg attendances</t>
  </si>
  <si>
    <t xml:space="preserve">Avg % within 4h (Type 1)</t>
  </si>
  <si>
    <t xml:space="preserve">Avg 12h waits for a bed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</si>
  <si>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</si>
  <si>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</si>
  <si>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</si>
  <si>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</si>
  <si>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</si>
  <si>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</si>
  <si>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</si>
  <si>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</si>
  <si>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</si>
  <si>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</si>
  <si>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</si>
  <si>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</si>
  <si>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Month label</t>
  </si>
  <si>
    <t xml:space="preserve">Month name</t>
  </si>
  <si>
    <t xml:space="preserve">Season</t>
  </si>
  <si>
    <t xml:space="preserve">Type 3 attendances</t>
  </si>
  <si>
    <t xml:space="preserve">Admitted via Type 1</t>
  </si>
  <si>
    <t xml:space="preserve">Seen within 4h (all)</t>
  </si>
  <si>
    <t xml:space="preserve">Over 4h (all)</t>
  </si>
  <si>
    <t xml:space="preserve">Seen within 4h (Type 1)</t>
  </si>
  <si>
    <t xml:space="preserve">Over 4h (Type 1)</t>
  </si>
  <si>
    <t xml:space="preserve">Flag: CRS field test</t>
  </si>
  <si>
    <t xml:space="preserve">Flag: estimated from weekly</t>
  </si>
  <si>
    <t xml:space="preserve">In seasonality window</t>
  </si>
  <si>
    <t xml:space="preserve">Nov 2010</t>
  </si>
  <si>
    <t xml:space="preserve">Autumn</t>
  </si>
  <si>
    <t xml:space="preserve">Dec 2010</t>
  </si>
  <si>
    <t xml:space="preserve">Winter</t>
  </si>
  <si>
    <t xml:space="preserve">Jan 2011</t>
  </si>
  <si>
    <t xml:space="preserve">Feb 2011</t>
  </si>
  <si>
    <t xml:space="preserve">Mar 2011</t>
  </si>
  <si>
    <t xml:space="preserve">Spring</t>
  </si>
  <si>
    <t xml:space="preserve">Apr 2011</t>
  </si>
  <si>
    <t xml:space="preserve">May 2011</t>
  </si>
  <si>
    <t xml:space="preserve">Jun 2011</t>
  </si>
  <si>
    <t xml:space="preserve">Summer</t>
  </si>
  <si>
    <t xml:space="preserve">Jul 2011</t>
  </si>
  <si>
    <t xml:space="preserve">Aug 2011</t>
  </si>
  <si>
    <t xml:space="preserve">Sep 2011</t>
  </si>
  <si>
    <t xml:space="preserve">Oct 2011</t>
  </si>
  <si>
    <t xml:space="preserve">Nov 2011</t>
  </si>
  <si>
    <t xml:space="preserve">Dec 2011</t>
  </si>
  <si>
    <t xml:space="preserve">Jan 2012</t>
  </si>
  <si>
    <t xml:space="preserve">Feb 2012</t>
  </si>
  <si>
    <t xml:space="preserve">Mar 2012</t>
  </si>
  <si>
    <t xml:space="preserve">Apr 2012</t>
  </si>
  <si>
    <t xml:space="preserve">May 2012</t>
  </si>
  <si>
    <t xml:space="preserve">Jun 2012</t>
  </si>
  <si>
    <t xml:space="preserve">Jul 2012</t>
  </si>
  <si>
    <t xml:space="preserve">Aug 2012</t>
  </si>
  <si>
    <t xml:space="preserve">Sep 2012</t>
  </si>
  <si>
    <t xml:space="preserve">Oct 2012</t>
  </si>
  <si>
    <t xml:space="preserve">Nov 2012</t>
  </si>
  <si>
    <t xml:space="preserve">Dec 2012</t>
  </si>
  <si>
    <t xml:space="preserve">Jan 2013</t>
  </si>
  <si>
    <t xml:space="preserve">Feb 2013</t>
  </si>
  <si>
    <t xml:space="preserve">Mar 2013</t>
  </si>
  <si>
    <t xml:space="preserve">Apr 2013</t>
  </si>
  <si>
    <t xml:space="preserve">May 2013</t>
  </si>
  <si>
    <t xml:space="preserve">Jun 2013</t>
  </si>
  <si>
    <t xml:space="preserve">Jul 2013</t>
  </si>
  <si>
    <t xml:space="preserve">Aug 2013</t>
  </si>
  <si>
    <t xml:space="preserve">Sep 2013</t>
  </si>
  <si>
    <t xml:space="preserve">Oct 2013</t>
  </si>
  <si>
    <t xml:space="preserve">Nov 2013</t>
  </si>
  <si>
    <t xml:space="preserve">Dec 2013</t>
  </si>
  <si>
    <t xml:space="preserve">Jan 2014</t>
  </si>
  <si>
    <t xml:space="preserve">Feb 2014</t>
  </si>
  <si>
    <t xml:space="preserve">Mar 2014</t>
  </si>
  <si>
    <t xml:space="preserve">Apr 2014</t>
  </si>
  <si>
    <t xml:space="preserve">May 2014</t>
  </si>
  <si>
    <t xml:space="preserve">Jun 2014</t>
  </si>
  <si>
    <t xml:space="preserve">Jul 2014</t>
  </si>
  <si>
    <t xml:space="preserve">Aug 2014</t>
  </si>
  <si>
    <t xml:space="preserve">Sep 2014</t>
  </si>
  <si>
    <t xml:space="preserve">Oct 2014</t>
  </si>
  <si>
    <t xml:space="preserve">Nov 2014</t>
  </si>
  <si>
    <t xml:space="preserve">Dec 2014</t>
  </si>
  <si>
    <t xml:space="preserve">Jan 2015</t>
  </si>
  <si>
    <t xml:space="preserve">Feb 2015</t>
  </si>
  <si>
    <t xml:space="preserve">Mar 2015</t>
  </si>
  <si>
    <t xml:space="preserve">Apr 2015</t>
  </si>
  <si>
    <t xml:space="preserve">May 2015</t>
  </si>
  <si>
    <t xml:space="preserve">Jun 2015</t>
  </si>
  <si>
    <t xml:space="preserve">Jul 2015</t>
  </si>
  <si>
    <t xml:space="preserve">Aug 2015</t>
  </si>
  <si>
    <t xml:space="preserve">Sep 2015</t>
  </si>
  <si>
    <t xml:space="preserve">Oct 2015</t>
  </si>
  <si>
    <t xml:space="preserve">Nov 2015</t>
  </si>
  <si>
    <t xml:space="preserve">Dec 2015</t>
  </si>
  <si>
    <t xml:space="preserve">Jan 2016</t>
  </si>
  <si>
    <t xml:space="preserve">Feb 2016</t>
  </si>
  <si>
    <t xml:space="preserve">Mar 2016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</si>
  <si>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</si>
  <si>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</si>
  <si>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</si>
  <si>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</si>
  <si>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</si>
  <si>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 2016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</si>
  <si>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</si>
  <si>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</si>
  <si>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</si>
  <si>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</si>
  <si>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</si>
  <si>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</si>
  <si>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</si>
  <si>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</si>
  <si>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</si>
  <si>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</si>
  <si>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</si>
  <si>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Sep 2017</t>
  </si>
  <si>
    <t xml:space="preserve">Oct 2017</t>
  </si>
  <si>
    <t xml:space="preserve">Nov 2017</t>
  </si>
  <si>
    <t xml:space="preserve">Dec 2017</t>
  </si>
  <si>
    <t xml:space="preserve">Jan 2018</t>
  </si>
  <si>
    <t xml:space="preserve">Feb 2018</t>
  </si>
  <si>
    <t xml:space="preserve">Mar 2018</t>
  </si>
  <si>
    <t xml:space="preserve">Apr 2018</t>
  </si>
  <si>
    <t xml:space="preserve">May 2018</t>
  </si>
  <si>
    <t xml:space="preserve">Jun 2018</t>
  </si>
  <si>
    <t xml:space="preserve">Jul 2018</t>
  </si>
  <si>
    <t xml:space="preserve">Aug 2018</t>
  </si>
  <si>
    <t xml:space="preserve">Sep 2018</t>
  </si>
  <si>
    <t xml:space="preserve">Oct 2018</t>
  </si>
  <si>
    <t xml:space="preserve">Nov 2018</t>
  </si>
  <si>
    <t xml:space="preserve">Dec 2018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</si>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</sst>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%"/>
    <numFmt numFmtId="166" formatCode="0"/>
    <numFmt numFmtId="167" formatCode="#,##0"/>
    <numFmt numFmtId="168" formatCode="\+0.0%;\-0.0%;0.0%"/>
    <numFmt numFmtId="169" formatCode="0.0%"/>
    <numFmt numFmtId="170" formatCode="\+0.0;\-0.0;0.0"/>
    <numFmt numFmtId="171" formatCode="#,##0,,\m"/>
    <numFmt numFmtId="172" formatCode="\+0.0&quot; pts&quot;;\-0.0&quot; pts&quot;;0.0&quot; pts&quot;"/>
    <numFmt numFmtId="173" formatCode="mmm\ 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sz val="11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000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of patients seen within 4 hours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'FY Summary'!G4</c:f>
              <c:strCache>
                <c:ptCount val="1"/>
                <c:pt idx="0">
                  <c:v>% within 4h (all)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'FY Summary'!$A$5:$A$21</c:f>
              <c:strCache>
                <c:ptCount val="17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  <c:pt idx="12">
                  <c:v>2022-23</c:v>
                </c:pt>
                <c:pt idx="13">
                  <c:v>2023-24</c:v>
                </c:pt>
                <c:pt idx="14">
                  <c:v>2024-25</c:v>
                </c:pt>
                <c:pt idx="15">
                  <c:v>2025-26</c:v>
                </c:pt>
                <c:pt idx="16">
                  <c:v>2026-27</c:v>
                </c:pt>
              </c:strCache>
            </c:strRef>
          </c:cat>
          <c:val>
            <c:numRef>
              <c:f>'FY Summary'!$G$5:$G$21</c:f>
              <c:numCache>
                <c:formatCode>0.0%</c:formatCode>
                <c:ptCount val="17"/>
                <c:pt idx="0">
                  <c:v>0.963242285067818</c:v>
                </c:pt>
                <c:pt idx="1">
                  <c:v>0.966221862100973</c:v>
                </c:pt>
                <c:pt idx="2">
                  <c:v>0.958563738256613</c:v>
                </c:pt>
                <c:pt idx="3">
                  <c:v>0.95683640447002</c:v>
                </c:pt>
                <c:pt idx="4">
                  <c:v>0.936336279454333</c:v>
                </c:pt>
                <c:pt idx="5">
                  <c:v>0.919176151906178</c:v>
                </c:pt>
                <c:pt idx="6">
                  <c:v>0.891258998846047</c:v>
                </c:pt>
                <c:pt idx="7">
                  <c:v>0.883396013112817</c:v>
                </c:pt>
                <c:pt idx="8">
                  <c:v>0.880130295337549</c:v>
                </c:pt>
                <c:pt idx="9">
                  <c:v>0.841675990071239</c:v>
                </c:pt>
                <c:pt idx="10">
                  <c:v>0.868045944322909</c:v>
                </c:pt>
                <c:pt idx="11">
                  <c:v>0.767444799393184</c:v>
                </c:pt>
                <c:pt idx="12">
                  <c:v>0.707973547217278</c:v>
                </c:pt>
                <c:pt idx="13">
                  <c:v>0.721401291709636</c:v>
                </c:pt>
                <c:pt idx="14">
                  <c:v>0.73875273964489</c:v>
                </c:pt>
                <c:pt idx="15">
                  <c:v>0.749287613233117</c:v>
                </c:pt>
                <c:pt idx="16">
                  <c:v>0.753933596332026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'FY Summary'!H4</c:f>
              <c:strCache>
                <c:ptCount val="1"/>
                <c:pt idx="0">
                  <c:v>% within 4h (Type 1)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'FY Summary'!$A$5:$A$21</c:f>
              <c:strCache>
                <c:ptCount val="17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  <c:pt idx="12">
                  <c:v>2022-23</c:v>
                </c:pt>
                <c:pt idx="13">
                  <c:v>2023-24</c:v>
                </c:pt>
                <c:pt idx="14">
                  <c:v>2024-25</c:v>
                </c:pt>
                <c:pt idx="15">
                  <c:v>2025-26</c:v>
                </c:pt>
                <c:pt idx="16">
                  <c:v>2026-27</c:v>
                </c:pt>
              </c:strCache>
            </c:strRef>
          </c:cat>
          <c:val>
            <c:numRef>
              <c:f>'FY Summary'!$H$5:$H$21</c:f>
              <c:numCache>
                <c:formatCode>0.0%</c:formatCode>
                <c:ptCount val="17"/>
                <c:pt idx="0">
                  <c:v>0.945322336920681</c:v>
                </c:pt>
                <c:pt idx="1">
                  <c:v>0.949058302212532</c:v>
                </c:pt>
                <c:pt idx="2">
                  <c:v>0.937696184570192</c:v>
                </c:pt>
                <c:pt idx="3">
                  <c:v>0.934837542999032</c:v>
                </c:pt>
                <c:pt idx="4">
                  <c:v>0.904015264228308</c:v>
                </c:pt>
                <c:pt idx="5">
                  <c:v>0.878917892051086</c:v>
                </c:pt>
                <c:pt idx="6">
                  <c:v>0.836800203475676</c:v>
                </c:pt>
                <c:pt idx="7">
                  <c:v>0.823644897074751</c:v>
                </c:pt>
                <c:pt idx="8">
                  <c:v>0.815392717818413</c:v>
                </c:pt>
                <c:pt idx="9">
                  <c:v>0.753623660338242</c:v>
                </c:pt>
                <c:pt idx="10">
                  <c:v>0.813458469478711</c:v>
                </c:pt>
                <c:pt idx="11">
                  <c:v>0.661326917011537</c:v>
                </c:pt>
                <c:pt idx="12">
                  <c:v>0.566610845583352</c:v>
                </c:pt>
                <c:pt idx="13">
                  <c:v>0.580911173219655</c:v>
                </c:pt>
                <c:pt idx="14">
                  <c:v>0.592938750718386</c:v>
                </c:pt>
                <c:pt idx="15">
                  <c:v>0.608723245253992</c:v>
                </c:pt>
                <c:pt idx="16">
                  <c:v>0.617101093933412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105483"/>
        <c:axId val="31352049"/>
      </c:lineChart>
      <c:catAx>
        <c:axId val="611054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52049"/>
        <c:crosses val="autoZero"/>
        <c:auto val="1"/>
        <c:lblAlgn val="ctr"/>
        <c:lblOffset val="100"/>
        <c:noMultiLvlLbl val="0"/>
      </c:catAx>
      <c:valAx>
        <c:axId val="31352049"/>
        <c:scaling>
          <c:orientation val="minMax"/>
          <c:max val="1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within 4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054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A&amp;E attendances per financial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'FY Summary'!C4</c:f>
              <c:strCache>
                <c:ptCount val="1"/>
                <c:pt idx="0">
                  <c:v>Total attendances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'FY Summary'!$A$5:$A$21</c:f>
              <c:strCache>
                <c:ptCount val="17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  <c:pt idx="12">
                  <c:v>2022-23</c:v>
                </c:pt>
                <c:pt idx="13">
                  <c:v>2023-24</c:v>
                </c:pt>
                <c:pt idx="14">
                  <c:v>2024-25</c:v>
                </c:pt>
                <c:pt idx="15">
                  <c:v>2025-26</c:v>
                </c:pt>
                <c:pt idx="16">
                  <c:v>2026-27</c:v>
                </c:pt>
              </c:strCache>
            </c:strRef>
          </c:cat>
          <c:val>
            <c:numRef>
              <c:f>'FY Summary'!$C$5:$C$21</c:f>
              <c:numCache>
                <c:formatCode>#,##0</c:formatCode>
                <c:ptCount val="17"/>
                <c:pt idx="0">
                  <c:v>8579370</c:v>
                </c:pt>
                <c:pt idx="1">
                  <c:v>21605067</c:v>
                </c:pt>
                <c:pt idx="2">
                  <c:v>21802375</c:v>
                </c:pt>
                <c:pt idx="3">
                  <c:v>21842944</c:v>
                </c:pt>
                <c:pt idx="4">
                  <c:v>22416140</c:v>
                </c:pt>
                <c:pt idx="5">
                  <c:v>22930103</c:v>
                </c:pt>
                <c:pt idx="6">
                  <c:v>23362301</c:v>
                </c:pt>
                <c:pt idx="7">
                  <c:v>23830120</c:v>
                </c:pt>
                <c:pt idx="8">
                  <c:v>24826982</c:v>
                </c:pt>
                <c:pt idx="9">
                  <c:v>25017116</c:v>
                </c:pt>
                <c:pt idx="10">
                  <c:v>17429559</c:v>
                </c:pt>
                <c:pt idx="11">
                  <c:v>24374967</c:v>
                </c:pt>
                <c:pt idx="12">
                  <c:v>25348842</c:v>
                </c:pt>
                <c:pt idx="13">
                  <c:v>26321069</c:v>
                </c:pt>
                <c:pt idx="14">
                  <c:v>27367598</c:v>
                </c:pt>
                <c:pt idx="15">
                  <c:v>27976025</c:v>
                </c:pt>
                <c:pt idx="16">
                  <c:v>14515915</c:v>
                </c:pt>
              </c:numCache>
            </c:numRef>
          </c:val>
        </c:ser>
        <c:gapWidth val="150"/>
        <c:overlap val="0"/>
        <c:axId val="71060476"/>
        <c:axId val="62804288"/>
      </c:barChart>
      <c:catAx>
        <c:axId val="710604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04288"/>
        <c:crosses val="autoZero"/>
        <c:auto val="1"/>
        <c:lblAlgn val="ctr"/>
        <c:lblOffset val="100"/>
        <c:noMultiLvlLbl val="0"/>
      </c:catAx>
      <c:valAx>
        <c:axId val="62804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604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% within 4 hours (Type 1)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Seasonality!D8</c:f>
              <c:strCache>
                <c:ptCount val="1"/>
                <c:pt idx="0">
                  <c:v>Avg % within 4h (Type 1)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Seasonality!$B$9:$B$20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Seasonality!$D$9:$D$20</c:f>
              <c:numCache>
                <c:formatCode>0.0%</c:formatCode>
                <c:ptCount val="12"/>
                <c:pt idx="0">
                  <c:v>0.571275986910506</c:v>
                </c:pt>
                <c:pt idx="1">
                  <c:v>0.577360329375898</c:v>
                </c:pt>
                <c:pt idx="2">
                  <c:v>0.606834804349424</c:v>
                </c:pt>
                <c:pt idx="3">
                  <c:v>0.601368001712375</c:v>
                </c:pt>
                <c:pt idx="4">
                  <c:v>0.603337557147674</c:v>
                </c:pt>
                <c:pt idx="5">
                  <c:v>0.602841236382056</c:v>
                </c:pt>
                <c:pt idx="6">
                  <c:v>0.606267810795342</c:v>
                </c:pt>
                <c:pt idx="7">
                  <c:v>0.604259535107809</c:v>
                </c:pt>
                <c:pt idx="8">
                  <c:v>0.58855824520415</c:v>
                </c:pt>
                <c:pt idx="9">
                  <c:v>0.572199420806691</c:v>
                </c:pt>
                <c:pt idx="10">
                  <c:v>0.56800901437771</c:v>
                </c:pt>
                <c:pt idx="11">
                  <c:v>0.548168562115521</c:v>
                </c:pt>
              </c:numCache>
            </c:numRef>
          </c:val>
        </c:ser>
        <c:gapWidth val="150"/>
        <c:overlap val="0"/>
        <c:axId val="69018062"/>
        <c:axId val="48079485"/>
      </c:barChart>
      <c:catAx>
        <c:axId val="690180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79485"/>
        <c:crosses val="autoZero"/>
        <c:auto val="1"/>
        <c:lblAlgn val="ctr"/>
        <c:lblOffset val="100"/>
        <c:noMultiLvlLbl val="0"/>
      </c:catAx>
      <c:valAx>
        <c:axId val="48079485"/>
        <c:scaling>
          <c:orientation val="minMax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180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160560</xdr:rowOff>
    </xdr:from>
    <xdr:to>
      <xdr:col>8</xdr:col>
      <xdr:colOff>518760</xdr:colOff>
      <xdr:row>39</xdr:row>
      <xdr:rowOff>161640</xdr:rowOff>
    </xdr:to>
    <xdr:graphicFrame>
      <xdr:nvGraphicFramePr>
        <xdr:cNvPr id="0" name="Chart 1"/>
        <xdr:cNvGraphicFramePr/>
      </xdr:nvGraphicFramePr>
      <xdr:xfrm>
        <a:off x="0" y="47624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41</xdr:row>
      <xdr:rowOff>160560</xdr:rowOff>
    </xdr:from>
    <xdr:to>
      <xdr:col>8</xdr:col>
      <xdr:colOff>518760</xdr:colOff>
      <xdr:row>58</xdr:row>
      <xdr:rowOff>161640</xdr:rowOff>
    </xdr:to>
    <xdr:graphicFrame>
      <xdr:nvGraphicFramePr>
        <xdr:cNvPr id="1" name="Chart 2"/>
        <xdr:cNvGraphicFramePr/>
      </xdr:nvGraphicFramePr>
      <xdr:xfrm>
        <a:off x="0" y="8381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17</xdr:row>
      <xdr:rowOff>32400</xdr:rowOff>
    </xdr:to>
    <xdr:graphicFrame>
      <xdr:nvGraphicFramePr>
        <xdr:cNvPr id="2" name="Chart 1"/>
        <xdr:cNvGraphicFramePr/>
      </xdr:nvGraphicFramePr>
      <xdr:xfrm>
        <a:off x="533412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Monthly" displayName="tblMonthly" ref="A1:U192" headerRowCount="1" totalsRowCount="0" totalsRowShown="0">
  <autoFilter ref="A1:U192"/>
  <tableColumns count="21">
    <tableColumn id="1" name="Month"/>
    <tableColumn id="2" name="Month label"/>
    <tableColumn id="3" name="Financial year"/>
    <tableColumn id="4" name="Month name"/>
    <tableColumn id="5" name="Season"/>
    <tableColumn id="6" name="Total attendances"/>
    <tableColumn id="7" name="Type 1 attendances"/>
    <tableColumn id="8" name="Type 3 attendances"/>
    <tableColumn id="9" name="Emergency admissions"/>
    <tableColumn id="10" name="Admitted via Type 1"/>
    <tableColumn id="11" name="Seen within 4h (all)"/>
    <tableColumn id="12" name="Over 4h (all)"/>
    <tableColumn id="13" name="Seen within 4h (Type 1)"/>
    <tableColumn id="14" name="Over 4h (Type 1)"/>
    <tableColumn id="15" name="12h waits after decision to admit"/>
    <tableColumn id="16" name="Flag: CRS field test"/>
    <tableColumn id="17" name="Flag: estimated from weekly"/>
    <tableColumn id="18" name="% within 4h (all)"/>
    <tableColumn id="19" name="% within 4h (Type 1)"/>
    <tableColumn id="20" name="Type 1 admission rate"/>
    <tableColumn id="21" name="In seasonality window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3" t="s">
        <v>2</v>
      </c>
    </row>
    <row r="4" customFormat="false" ht="26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39.5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26.8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  <row r="13" customFormat="false" ht="15" hidden="false" customHeight="false" outlineLevel="0" collapsed="false">
      <c r="A13" s="2" t="s">
        <v>21</v>
      </c>
      <c r="B13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8" min="7" style="0" width="12"/>
    <col collapsed="false" customWidth="true" hidden="false" outlineLevel="0" max="11" min="9" style="0" width="13"/>
    <col collapsed="false" customWidth="true" hidden="false" outlineLevel="0" max="12" min="12" style="0" width="3"/>
    <col collapsed="false" customWidth="true" hidden="false" outlineLevel="0" max="13" min="13" style="0" width="1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4" t="s">
        <v>23</v>
      </c>
    </row>
    <row r="2" customFormat="false" ht="15" hidden="false" customHeight="false" outlineLevel="0" collapsed="false">
      <c r="A2" s="5" t="s">
        <v>24</v>
      </c>
    </row>
    <row r="4" customFormat="false" ht="45" hidden="false" customHeight="true" outlineLevel="0" collapsed="false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32</v>
      </c>
      <c r="I4" s="6" t="s">
        <v>33</v>
      </c>
      <c r="J4" s="6" t="s">
        <v>34</v>
      </c>
      <c r="K4" s="6" t="s">
        <v>35</v>
      </c>
      <c r="M4" s="7" t="s">
        <v>36</v>
      </c>
      <c r="N4" s="8" t="n">
        <v>0.95</v>
      </c>
    </row>
    <row r="5" customFormat="false" ht="15" hidden="false" customHeight="false" outlineLevel="0" collapsed="false">
      <c r="A5" s="9" t="s">
        <v>37</v>
      </c>
      <c r="B5" s="10" t="n">
        <f aca="false">COUNTIFS(Data!$C$2:$C$192,$A5)</f>
        <v>5</v>
      </c>
      <c r="C5" s="11" t="n">
        <f aca="false">SUMIFS(Data!$F$2:$F$192,Data!$C$2:$C$192,$A5)</f>
        <v>8579370</v>
      </c>
      <c r="D5" s="12" t="str">
        <f aca="false">""</f>
        <v/>
      </c>
      <c r="E5" s="11" t="n">
        <f aca="false">SUMIFS(Data!$G$2:$G$192,Data!$C$2:$C$192,$A5)</f>
        <v>5683309</v>
      </c>
      <c r="F5" s="11" t="n">
        <f aca="false">SUMIFS(Data!$I$2:$I$192,Data!$C$2:$C$192,$A5)</f>
        <v>2171884</v>
      </c>
      <c r="G5" s="13" t="n">
        <f aca="false">SUMIFS(Data!$K$2:$K$192,Data!$C$2:$C$192,$A5)/(SUMIFS(Data!$K$2:$K$192,Data!$C$2:$C$192,$A5)+SUMIFS(Data!$L$2:$L$192,Data!$C$2:$C$192,$A5))</f>
        <v>0.963242285067818</v>
      </c>
      <c r="H5" s="13" t="n">
        <f aca="false">SUMIFS(Data!$M$2:$M$192,Data!$C$2:$C$192,$A5)/(SUMIFS(Data!$M$2:$M$192,Data!$C$2:$C$192,$A5)+SUMIFS(Data!$N$2:$N$192,Data!$C$2:$C$192,$A5))</f>
        <v>0.945322336920681</v>
      </c>
      <c r="I5" s="14" t="str">
        <f aca="false">""</f>
        <v/>
      </c>
      <c r="J5" s="11" t="n">
        <f aca="false">SUMIFS(Data!$O$2:$O$192,Data!$C$2:$C$192,$A5)</f>
        <v>38</v>
      </c>
      <c r="K5" s="9" t="str">
        <f aca="false">IF(B5&lt;12,"Partial year","Complete")</f>
        <v>Partial year</v>
      </c>
      <c r="M5" s="5" t="s">
        <v>38</v>
      </c>
    </row>
    <row r="6" customFormat="false" ht="15" hidden="false" customHeight="false" outlineLevel="0" collapsed="false">
      <c r="A6" s="9" t="s">
        <v>39</v>
      </c>
      <c r="B6" s="10" t="n">
        <f aca="false">COUNTIFS(Data!$C$2:$C$192,$A6)</f>
        <v>12</v>
      </c>
      <c r="C6" s="11" t="n">
        <f aca="false">SUMIFS(Data!$F$2:$F$192,Data!$C$2:$C$192,$A6)</f>
        <v>21605067</v>
      </c>
      <c r="D6" s="12" t="str">
        <f aca="false">IF(AND(B6=12,B5=12),C6/C5-1,"")</f>
        <v/>
      </c>
      <c r="E6" s="11" t="n">
        <f aca="false">SUMIFS(Data!$G$2:$G$192,Data!$C$2:$C$192,$A6)</f>
        <v>14095072</v>
      </c>
      <c r="F6" s="11" t="n">
        <f aca="false">SUMIFS(Data!$I$2:$I$192,Data!$C$2:$C$192,$A6)</f>
        <v>5119724</v>
      </c>
      <c r="G6" s="13" t="n">
        <f aca="false">SUMIFS(Data!$K$2:$K$192,Data!$C$2:$C$192,$A6)/(SUMIFS(Data!$K$2:$K$192,Data!$C$2:$C$192,$A6)+SUMIFS(Data!$L$2:$L$192,Data!$C$2:$C$192,$A6))</f>
        <v>0.966221862100973</v>
      </c>
      <c r="H6" s="13" t="n">
        <f aca="false">SUMIFS(Data!$M$2:$M$192,Data!$C$2:$C$192,$A6)/(SUMIFS(Data!$M$2:$M$192,Data!$C$2:$C$192,$A6)+SUMIFS(Data!$N$2:$N$192,Data!$C$2:$C$192,$A6))</f>
        <v>0.949058302212532</v>
      </c>
      <c r="I6" s="14" t="str">
        <f aca="false">IF(AND(B6=12,B5=12),(H6-H5)*100,"")</f>
        <v/>
      </c>
      <c r="J6" s="11" t="n">
        <f aca="false">SUMIFS(Data!$O$2:$O$192,Data!$C$2:$C$192,$A6)</f>
        <v>124</v>
      </c>
      <c r="K6" s="9" t="str">
        <f aca="false">IF(B6&lt;12,"Partial year","Complete")</f>
        <v>Complete</v>
      </c>
    </row>
    <row r="7" customFormat="false" ht="15" hidden="false" customHeight="false" outlineLevel="0" collapsed="false">
      <c r="A7" s="9" t="s">
        <v>40</v>
      </c>
      <c r="B7" s="10" t="n">
        <f aca="false">COUNTIFS(Data!$C$2:$C$192,$A7)</f>
        <v>12</v>
      </c>
      <c r="C7" s="11" t="n">
        <f aca="false">SUMIFS(Data!$F$2:$F$192,Data!$C$2:$C$192,$A7)</f>
        <v>21802375</v>
      </c>
      <c r="D7" s="12" t="n">
        <f aca="false">IF(AND(B7=12,B6=12),C7/C6-1,"")</f>
        <v>0.00913248730031713</v>
      </c>
      <c r="E7" s="11" t="n">
        <f aca="false">SUMIFS(Data!$G$2:$G$192,Data!$C$2:$C$192,$A7)</f>
        <v>14293617</v>
      </c>
      <c r="F7" s="11" t="n">
        <f aca="false">SUMIFS(Data!$I$2:$I$192,Data!$C$2:$C$192,$A7)</f>
        <v>5214511</v>
      </c>
      <c r="G7" s="13" t="n">
        <f aca="false">SUMIFS(Data!$K$2:$K$192,Data!$C$2:$C$192,$A7)/(SUMIFS(Data!$K$2:$K$192,Data!$C$2:$C$192,$A7)+SUMIFS(Data!$L$2:$L$192,Data!$C$2:$C$192,$A7))</f>
        <v>0.958563738256613</v>
      </c>
      <c r="H7" s="13" t="n">
        <f aca="false">SUMIFS(Data!$M$2:$M$192,Data!$C$2:$C$192,$A7)/(SUMIFS(Data!$M$2:$M$192,Data!$C$2:$C$192,$A7)+SUMIFS(Data!$N$2:$N$192,Data!$C$2:$C$192,$A7))</f>
        <v>0.937696184570192</v>
      </c>
      <c r="I7" s="14" t="n">
        <f aca="false">IF(AND(B7=12,B6=12),(H7-H6)*100,"")</f>
        <v>-1.13621176423401</v>
      </c>
      <c r="J7" s="11" t="n">
        <f aca="false">SUMIFS(Data!$O$2:$O$192,Data!$C$2:$C$192,$A7)</f>
        <v>170</v>
      </c>
      <c r="K7" s="9" t="str">
        <f aca="false">IF(B7&lt;12,"Partial year","Complete")</f>
        <v>Complete</v>
      </c>
    </row>
    <row r="8" customFormat="false" ht="15" hidden="false" customHeight="false" outlineLevel="0" collapsed="false">
      <c r="A8" s="9" t="s">
        <v>41</v>
      </c>
      <c r="B8" s="10" t="n">
        <f aca="false">COUNTIFS(Data!$C$2:$C$192,$A8)</f>
        <v>12</v>
      </c>
      <c r="C8" s="11" t="n">
        <f aca="false">SUMIFS(Data!$F$2:$F$192,Data!$C$2:$C$192,$A8)</f>
        <v>21842944</v>
      </c>
      <c r="D8" s="12" t="n">
        <f aca="false">IF(AND(B8=12,B7=12),C8/C7-1,"")</f>
        <v>0.00186076058227602</v>
      </c>
      <c r="E8" s="11" t="n">
        <f aca="false">SUMIFS(Data!$G$2:$G$192,Data!$C$2:$C$192,$A8)</f>
        <v>14254974</v>
      </c>
      <c r="F8" s="11" t="n">
        <f aca="false">SUMIFS(Data!$I$2:$I$192,Data!$C$2:$C$192,$A8)</f>
        <v>5288080</v>
      </c>
      <c r="G8" s="13" t="n">
        <f aca="false">SUMIFS(Data!$K$2:$K$192,Data!$C$2:$C$192,$A8)/(SUMIFS(Data!$K$2:$K$192,Data!$C$2:$C$192,$A8)+SUMIFS(Data!$L$2:$L$192,Data!$C$2:$C$192,$A8))</f>
        <v>0.95683640447002</v>
      </c>
      <c r="H8" s="13" t="n">
        <f aca="false">SUMIFS(Data!$M$2:$M$192,Data!$C$2:$C$192,$A8)/(SUMIFS(Data!$M$2:$M$192,Data!$C$2:$C$192,$A8)+SUMIFS(Data!$N$2:$N$192,Data!$C$2:$C$192,$A8))</f>
        <v>0.934837542999032</v>
      </c>
      <c r="I8" s="14" t="n">
        <f aca="false">IF(AND(B8=12,B7=12),(H8-H7)*100,"")</f>
        <v>-0.285864157115956</v>
      </c>
      <c r="J8" s="11" t="n">
        <f aca="false">SUMIFS(Data!$O$2:$O$192,Data!$C$2:$C$192,$A8)</f>
        <v>242</v>
      </c>
      <c r="K8" s="9" t="str">
        <f aca="false">IF(B8&lt;12,"Partial year","Complete")</f>
        <v>Complete</v>
      </c>
    </row>
    <row r="9" customFormat="false" ht="15" hidden="false" customHeight="false" outlineLevel="0" collapsed="false">
      <c r="A9" s="9" t="s">
        <v>42</v>
      </c>
      <c r="B9" s="10" t="n">
        <f aca="false">COUNTIFS(Data!$C$2:$C$192,$A9)</f>
        <v>12</v>
      </c>
      <c r="C9" s="11" t="n">
        <f aca="false">SUMIFS(Data!$F$2:$F$192,Data!$C$2:$C$192,$A9)</f>
        <v>22416140</v>
      </c>
      <c r="D9" s="12" t="n">
        <f aca="false">IF(AND(B9=12,B8=12),C9/C8-1,"")</f>
        <v>0.026241700752426</v>
      </c>
      <c r="E9" s="11" t="n">
        <f aca="false">SUMIFS(Data!$G$2:$G$192,Data!$C$2:$C$192,$A9)</f>
        <v>14623472</v>
      </c>
      <c r="F9" s="11" t="n">
        <f aca="false">SUMIFS(Data!$I$2:$I$192,Data!$C$2:$C$192,$A9)</f>
        <v>5497524</v>
      </c>
      <c r="G9" s="13" t="n">
        <f aca="false">SUMIFS(Data!$K$2:$K$192,Data!$C$2:$C$192,$A9)/(SUMIFS(Data!$K$2:$K$192,Data!$C$2:$C$192,$A9)+SUMIFS(Data!$L$2:$L$192,Data!$C$2:$C$192,$A9))</f>
        <v>0.936336279454333</v>
      </c>
      <c r="H9" s="13" t="n">
        <f aca="false">SUMIFS(Data!$M$2:$M$192,Data!$C$2:$C$192,$A9)/(SUMIFS(Data!$M$2:$M$192,Data!$C$2:$C$192,$A9)+SUMIFS(Data!$N$2:$N$192,Data!$C$2:$C$192,$A9))</f>
        <v>0.904015264228308</v>
      </c>
      <c r="I9" s="14" t="n">
        <f aca="false">IF(AND(B9=12,B8=12),(H9-H8)*100,"")</f>
        <v>-3.08222787707242</v>
      </c>
      <c r="J9" s="11" t="n">
        <f aca="false">SUMIFS(Data!$O$2:$O$192,Data!$C$2:$C$192,$A9)</f>
        <v>1246</v>
      </c>
      <c r="K9" s="9" t="str">
        <f aca="false">IF(B9&lt;12,"Partial year","Complete")</f>
        <v>Complete</v>
      </c>
    </row>
    <row r="10" customFormat="false" ht="15" hidden="false" customHeight="false" outlineLevel="0" collapsed="false">
      <c r="A10" s="9" t="s">
        <v>43</v>
      </c>
      <c r="B10" s="10" t="n">
        <f aca="false">COUNTIFS(Data!$C$2:$C$192,$A10)</f>
        <v>12</v>
      </c>
      <c r="C10" s="11" t="n">
        <f aca="false">SUMIFS(Data!$F$2:$F$192,Data!$C$2:$C$192,$A10)</f>
        <v>22930103</v>
      </c>
      <c r="D10" s="12" t="n">
        <f aca="false">IF(AND(B10=12,B9=12),C10/C9-1,"")</f>
        <v>0.022928256158286</v>
      </c>
      <c r="E10" s="11" t="n">
        <f aca="false">SUMIFS(Data!$G$2:$G$192,Data!$C$2:$C$192,$A10)</f>
        <v>14968636</v>
      </c>
      <c r="F10" s="11" t="n">
        <f aca="false">SUMIFS(Data!$I$2:$I$192,Data!$C$2:$C$192,$A10)</f>
        <v>5656122</v>
      </c>
      <c r="G10" s="13" t="n">
        <f aca="false">SUMIFS(Data!$K$2:$K$192,Data!$C$2:$C$192,$A10)/(SUMIFS(Data!$K$2:$K$192,Data!$C$2:$C$192,$A10)+SUMIFS(Data!$L$2:$L$192,Data!$C$2:$C$192,$A10))</f>
        <v>0.919176151906178</v>
      </c>
      <c r="H10" s="13" t="n">
        <f aca="false">SUMIFS(Data!$M$2:$M$192,Data!$C$2:$C$192,$A10)/(SUMIFS(Data!$M$2:$M$192,Data!$C$2:$C$192,$A10)+SUMIFS(Data!$N$2:$N$192,Data!$C$2:$C$192,$A10))</f>
        <v>0.878917892051086</v>
      </c>
      <c r="I10" s="14" t="n">
        <f aca="false">IF(AND(B10=12,B9=12),(H10-H9)*100,"")</f>
        <v>-2.5097372177222</v>
      </c>
      <c r="J10" s="11" t="n">
        <f aca="false">SUMIFS(Data!$O$2:$O$192,Data!$C$2:$C$192,$A10)</f>
        <v>1013</v>
      </c>
      <c r="K10" s="9" t="str">
        <f aca="false">IF(B10&lt;12,"Partial year","Complete")</f>
        <v>Complete</v>
      </c>
    </row>
    <row r="11" customFormat="false" ht="15" hidden="false" customHeight="false" outlineLevel="0" collapsed="false">
      <c r="A11" s="9" t="s">
        <v>44</v>
      </c>
      <c r="B11" s="10" t="n">
        <f aca="false">COUNTIFS(Data!$C$2:$C$192,$A11)</f>
        <v>12</v>
      </c>
      <c r="C11" s="11" t="n">
        <f aca="false">SUMIFS(Data!$F$2:$F$192,Data!$C$2:$C$192,$A11)</f>
        <v>23362301</v>
      </c>
      <c r="D11" s="12" t="n">
        <f aca="false">IF(AND(B11=12,B10=12),C11/C10-1,"")</f>
        <v>0.0188484979766554</v>
      </c>
      <c r="E11" s="11" t="n">
        <f aca="false">SUMIFS(Data!$G$2:$G$192,Data!$C$2:$C$192,$A11)</f>
        <v>15262758</v>
      </c>
      <c r="F11" s="11" t="n">
        <f aca="false">SUMIFS(Data!$I$2:$I$192,Data!$C$2:$C$192,$A11)</f>
        <v>5800183</v>
      </c>
      <c r="G11" s="13" t="n">
        <f aca="false">SUMIFS(Data!$K$2:$K$192,Data!$C$2:$C$192,$A11)/(SUMIFS(Data!$K$2:$K$192,Data!$C$2:$C$192,$A11)+SUMIFS(Data!$L$2:$L$192,Data!$C$2:$C$192,$A11))</f>
        <v>0.891258998846047</v>
      </c>
      <c r="H11" s="13" t="n">
        <f aca="false">SUMIFS(Data!$M$2:$M$192,Data!$C$2:$C$192,$A11)/(SUMIFS(Data!$M$2:$M$192,Data!$C$2:$C$192,$A11)+SUMIFS(Data!$N$2:$N$192,Data!$C$2:$C$192,$A11))</f>
        <v>0.836800203475676</v>
      </c>
      <c r="I11" s="14" t="n">
        <f aca="false">IF(AND(B11=12,B10=12),(H11-H10)*100,"")</f>
        <v>-4.21176885754102</v>
      </c>
      <c r="J11" s="11" t="n">
        <f aca="false">SUMIFS(Data!$O$2:$O$192,Data!$C$2:$C$192,$A11)</f>
        <v>3502</v>
      </c>
      <c r="K11" s="9" t="str">
        <f aca="false">IF(B11&lt;12,"Partial year","Complete")</f>
        <v>Complete</v>
      </c>
    </row>
    <row r="12" customFormat="false" ht="15" hidden="false" customHeight="false" outlineLevel="0" collapsed="false">
      <c r="A12" s="9" t="s">
        <v>45</v>
      </c>
      <c r="B12" s="10" t="n">
        <f aca="false">COUNTIFS(Data!$C$2:$C$192,$A12)</f>
        <v>12</v>
      </c>
      <c r="C12" s="11" t="n">
        <f aca="false">SUMIFS(Data!$F$2:$F$192,Data!$C$2:$C$192,$A12)</f>
        <v>23830120</v>
      </c>
      <c r="D12" s="12" t="n">
        <f aca="false">IF(AND(B12=12,B11=12),C12/C11-1,"")</f>
        <v>0.0200245258375877</v>
      </c>
      <c r="E12" s="11" t="n">
        <f aca="false">SUMIFS(Data!$G$2:$G$192,Data!$C$2:$C$192,$A12)</f>
        <v>15372467</v>
      </c>
      <c r="F12" s="11" t="n">
        <f aca="false">SUMIFS(Data!$I$2:$I$192,Data!$C$2:$C$192,$A12)</f>
        <v>6016526</v>
      </c>
      <c r="G12" s="13" t="n">
        <f aca="false">SUMIFS(Data!$K$2:$K$192,Data!$C$2:$C$192,$A12)/(SUMIFS(Data!$K$2:$K$192,Data!$C$2:$C$192,$A12)+SUMIFS(Data!$L$2:$L$192,Data!$C$2:$C$192,$A12))</f>
        <v>0.883396013112817</v>
      </c>
      <c r="H12" s="13" t="n">
        <f aca="false">SUMIFS(Data!$M$2:$M$192,Data!$C$2:$C$192,$A12)/(SUMIFS(Data!$M$2:$M$192,Data!$C$2:$C$192,$A12)+SUMIFS(Data!$N$2:$N$192,Data!$C$2:$C$192,$A12))</f>
        <v>0.823644897074751</v>
      </c>
      <c r="I12" s="14" t="n">
        <f aca="false">IF(AND(B12=12,B11=12),(H12-H11)*100,"")</f>
        <v>-1.31553064009252</v>
      </c>
      <c r="J12" s="11" t="n">
        <f aca="false">SUMIFS(Data!$O$2:$O$192,Data!$C$2:$C$192,$A12)</f>
        <v>3471</v>
      </c>
      <c r="K12" s="9" t="str">
        <f aca="false">IF(B12&lt;12,"Partial year","Complete")</f>
        <v>Complete</v>
      </c>
    </row>
    <row r="13" customFormat="false" ht="15" hidden="false" customHeight="false" outlineLevel="0" collapsed="false">
      <c r="A13" s="9" t="s">
        <v>46</v>
      </c>
      <c r="B13" s="10" t="n">
        <f aca="false">COUNTIFS(Data!$C$2:$C$192,$A13)</f>
        <v>12</v>
      </c>
      <c r="C13" s="11" t="n">
        <f aca="false">SUMIFS(Data!$F$2:$F$192,Data!$C$2:$C$192,$A13)</f>
        <v>24826982</v>
      </c>
      <c r="D13" s="12" t="n">
        <f aca="false">IF(AND(B13=12,B12=12),C13/C12-1,"")</f>
        <v>0.0418320176314682</v>
      </c>
      <c r="E13" s="11" t="n">
        <f aca="false">SUMIFS(Data!$G$2:$G$192,Data!$C$2:$C$192,$A13)</f>
        <v>15679999</v>
      </c>
      <c r="F13" s="11" t="n">
        <f aca="false">SUMIFS(Data!$I$2:$I$192,Data!$C$2:$C$192,$A13)</f>
        <v>6369153</v>
      </c>
      <c r="G13" s="13" t="n">
        <f aca="false">SUMIFS(Data!$K$2:$K$192,Data!$C$2:$C$192,$A13)/(SUMIFS(Data!$K$2:$K$192,Data!$C$2:$C$192,$A13)+SUMIFS(Data!$L$2:$L$192,Data!$C$2:$C$192,$A13))</f>
        <v>0.880130295337549</v>
      </c>
      <c r="H13" s="13" t="n">
        <f aca="false">SUMIFS(Data!$M$2:$M$192,Data!$C$2:$C$192,$A13)/(SUMIFS(Data!$M$2:$M$192,Data!$C$2:$C$192,$A13)+SUMIFS(Data!$N$2:$N$192,Data!$C$2:$C$192,$A13))</f>
        <v>0.815392717818413</v>
      </c>
      <c r="I13" s="14" t="n">
        <f aca="false">IF(AND(B13=12,B12=12),(H13-H12)*100,"")</f>
        <v>-0.825217925633748</v>
      </c>
      <c r="J13" s="11" t="n">
        <f aca="false">SUMIFS(Data!$O$2:$O$192,Data!$C$2:$C$192,$A13)</f>
        <v>3262</v>
      </c>
      <c r="K13" s="9" t="str">
        <f aca="false">IF(B13&lt;12,"Partial year","Complete")</f>
        <v>Complete</v>
      </c>
    </row>
    <row r="14" customFormat="false" ht="15" hidden="false" customHeight="false" outlineLevel="0" collapsed="false">
      <c r="A14" s="9" t="s">
        <v>47</v>
      </c>
      <c r="B14" s="10" t="n">
        <f aca="false">COUNTIFS(Data!$C$2:$C$192,$A14)</f>
        <v>12</v>
      </c>
      <c r="C14" s="11" t="n">
        <f aca="false">SUMIFS(Data!$F$2:$F$192,Data!$C$2:$C$192,$A14)</f>
        <v>25017116</v>
      </c>
      <c r="D14" s="12" t="n">
        <f aca="false">IF(AND(B14=12,B13=12),C14/C13-1,"")</f>
        <v>0.00765836137473341</v>
      </c>
      <c r="E14" s="11" t="n">
        <f aca="false">SUMIFS(Data!$G$2:$G$192,Data!$C$2:$C$192,$A14)</f>
        <v>15810686</v>
      </c>
      <c r="F14" s="11" t="n">
        <f aca="false">SUMIFS(Data!$I$2:$I$192,Data!$C$2:$C$192,$A14)</f>
        <v>6405933</v>
      </c>
      <c r="G14" s="13" t="n">
        <f aca="false">SUMIFS(Data!$K$2:$K$192,Data!$C$2:$C$192,$A14)/(SUMIFS(Data!$K$2:$K$192,Data!$C$2:$C$192,$A14)+SUMIFS(Data!$L$2:$L$192,Data!$C$2:$C$192,$A14))</f>
        <v>0.841675990071239</v>
      </c>
      <c r="H14" s="13" t="n">
        <f aca="false">SUMIFS(Data!$M$2:$M$192,Data!$C$2:$C$192,$A14)/(SUMIFS(Data!$M$2:$M$192,Data!$C$2:$C$192,$A14)+SUMIFS(Data!$N$2:$N$192,Data!$C$2:$C$192,$A14))</f>
        <v>0.753623660338242</v>
      </c>
      <c r="I14" s="14" t="n">
        <f aca="false">IF(AND(B14=12,B13=12),(H14-H13)*100,"")</f>
        <v>-6.17690574801712</v>
      </c>
      <c r="J14" s="11" t="n">
        <f aca="false">SUMIFS(Data!$O$2:$O$192,Data!$C$2:$C$192,$A14)</f>
        <v>12435</v>
      </c>
      <c r="K14" s="9" t="str">
        <f aca="false">IF(B14&lt;12,"Partial year","Complete")</f>
        <v>Complete</v>
      </c>
    </row>
    <row r="15" customFormat="false" ht="15" hidden="false" customHeight="false" outlineLevel="0" collapsed="false">
      <c r="A15" s="9" t="s">
        <v>48</v>
      </c>
      <c r="B15" s="10" t="n">
        <f aca="false">COUNTIFS(Data!$C$2:$C$192,$A15)</f>
        <v>12</v>
      </c>
      <c r="C15" s="11" t="n">
        <f aca="false">SUMIFS(Data!$F$2:$F$192,Data!$C$2:$C$192,$A15)</f>
        <v>17429559</v>
      </c>
      <c r="D15" s="12" t="n">
        <f aca="false">IF(AND(B15=12,B14=12),C15/C14-1,"")</f>
        <v>-0.303294632362899</v>
      </c>
      <c r="E15" s="11" t="n">
        <f aca="false">SUMIFS(Data!$G$2:$G$192,Data!$C$2:$C$192,$A15)</f>
        <v>12287284</v>
      </c>
      <c r="F15" s="11" t="n">
        <f aca="false">SUMIFS(Data!$I$2:$I$192,Data!$C$2:$C$192,$A15)</f>
        <v>5357866</v>
      </c>
      <c r="G15" s="13" t="n">
        <f aca="false">SUMIFS(Data!$K$2:$K$192,Data!$C$2:$C$192,$A15)/(SUMIFS(Data!$K$2:$K$192,Data!$C$2:$C$192,$A15)+SUMIFS(Data!$L$2:$L$192,Data!$C$2:$C$192,$A15))</f>
        <v>0.868045944322909</v>
      </c>
      <c r="H15" s="13" t="n">
        <f aca="false">SUMIFS(Data!$M$2:$M$192,Data!$C$2:$C$192,$A15)/(SUMIFS(Data!$M$2:$M$192,Data!$C$2:$C$192,$A15)+SUMIFS(Data!$N$2:$N$192,Data!$C$2:$C$192,$A15))</f>
        <v>0.813458469478711</v>
      </c>
      <c r="I15" s="14" t="n">
        <f aca="false">IF(AND(B15=12,B14=12),(H15-H14)*100,"")</f>
        <v>5.98348091404691</v>
      </c>
      <c r="J15" s="11" t="n">
        <f aca="false">SUMIFS(Data!$O$2:$O$192,Data!$C$2:$C$192,$A15)</f>
        <v>14150</v>
      </c>
      <c r="K15" s="9" t="str">
        <f aca="false">IF(B15&lt;12,"Partial year","Complete")</f>
        <v>Complete</v>
      </c>
    </row>
    <row r="16" customFormat="false" ht="15" hidden="false" customHeight="false" outlineLevel="0" collapsed="false">
      <c r="A16" s="9" t="s">
        <v>49</v>
      </c>
      <c r="B16" s="10" t="n">
        <f aca="false">COUNTIFS(Data!$C$2:$C$192,$A16)</f>
        <v>12</v>
      </c>
      <c r="C16" s="11" t="n">
        <f aca="false">SUMIFS(Data!$F$2:$F$192,Data!$C$2:$C$192,$A16)</f>
        <v>24374967</v>
      </c>
      <c r="D16" s="12" t="n">
        <f aca="false">IF(AND(B16=12,B15=12),C16/C15-1,"")</f>
        <v>0.398484436697452</v>
      </c>
      <c r="E16" s="11" t="n">
        <f aca="false">SUMIFS(Data!$G$2:$G$192,Data!$C$2:$C$192,$A16)</f>
        <v>16137559</v>
      </c>
      <c r="F16" s="11" t="n">
        <f aca="false">SUMIFS(Data!$I$2:$I$192,Data!$C$2:$C$192,$A16)</f>
        <v>6114952</v>
      </c>
      <c r="G16" s="13" t="n">
        <f aca="false">SUMIFS(Data!$K$2:$K$192,Data!$C$2:$C$192,$A16)/(SUMIFS(Data!$K$2:$K$192,Data!$C$2:$C$192,$A16)+SUMIFS(Data!$L$2:$L$192,Data!$C$2:$C$192,$A16))</f>
        <v>0.767444799393184</v>
      </c>
      <c r="H16" s="13" t="n">
        <f aca="false">SUMIFS(Data!$M$2:$M$192,Data!$C$2:$C$192,$A16)/(SUMIFS(Data!$M$2:$M$192,Data!$C$2:$C$192,$A16)+SUMIFS(Data!$N$2:$N$192,Data!$C$2:$C$192,$A16))</f>
        <v>0.661326917011537</v>
      </c>
      <c r="I16" s="14" t="n">
        <f aca="false">IF(AND(B16=12,B15=12),(H16-H15)*100,"")</f>
        <v>-15.2131552467174</v>
      </c>
      <c r="J16" s="11" t="n">
        <f aca="false">SUMIFS(Data!$O$2:$O$192,Data!$C$2:$C$192,$A16)</f>
        <v>98564</v>
      </c>
      <c r="K16" s="9" t="str">
        <f aca="false">IF(B16&lt;12,"Partial year","Complete")</f>
        <v>Complete</v>
      </c>
    </row>
    <row r="17" customFormat="false" ht="15" hidden="false" customHeight="false" outlineLevel="0" collapsed="false">
      <c r="A17" s="9" t="s">
        <v>50</v>
      </c>
      <c r="B17" s="10" t="n">
        <f aca="false">COUNTIFS(Data!$C$2:$C$192,$A17)</f>
        <v>12</v>
      </c>
      <c r="C17" s="11" t="n">
        <f aca="false">SUMIFS(Data!$F$2:$F$192,Data!$C$2:$C$192,$A17)</f>
        <v>25348842</v>
      </c>
      <c r="D17" s="12" t="n">
        <f aca="false">IF(AND(B17=12,B16=12),C17/C16-1,"")</f>
        <v>0.0399539002452802</v>
      </c>
      <c r="E17" s="11" t="n">
        <f aca="false">SUMIFS(Data!$G$2:$G$192,Data!$C$2:$C$192,$A17)</f>
        <v>16202978</v>
      </c>
      <c r="F17" s="11" t="n">
        <f aca="false">SUMIFS(Data!$I$2:$I$192,Data!$C$2:$C$192,$A17)</f>
        <v>6020665</v>
      </c>
      <c r="G17" s="13" t="n">
        <f aca="false">SUMIFS(Data!$K$2:$K$192,Data!$C$2:$C$192,$A17)/(SUMIFS(Data!$K$2:$K$192,Data!$C$2:$C$192,$A17)+SUMIFS(Data!$L$2:$L$192,Data!$C$2:$C$192,$A17))</f>
        <v>0.707973547217278</v>
      </c>
      <c r="H17" s="13" t="n">
        <f aca="false">SUMIFS(Data!$M$2:$M$192,Data!$C$2:$C$192,$A17)/(SUMIFS(Data!$M$2:$M$192,Data!$C$2:$C$192,$A17)+SUMIFS(Data!$N$2:$N$192,Data!$C$2:$C$192,$A17))</f>
        <v>0.566610845583352</v>
      </c>
      <c r="I17" s="14" t="n">
        <f aca="false">IF(AND(B17=12,B16=12),(H17-H16)*100,"")</f>
        <v>-9.47160714281858</v>
      </c>
      <c r="J17" s="11" t="n">
        <f aca="false">SUMIFS(Data!$O$2:$O$192,Data!$C$2:$C$192,$A17)</f>
        <v>410092</v>
      </c>
      <c r="K17" s="9" t="str">
        <f aca="false">IF(B17&lt;12,"Partial year","Complete")</f>
        <v>Complete</v>
      </c>
    </row>
    <row r="18" customFormat="false" ht="15" hidden="false" customHeight="false" outlineLevel="0" collapsed="false">
      <c r="A18" s="9" t="s">
        <v>51</v>
      </c>
      <c r="B18" s="10" t="n">
        <f aca="false">COUNTIFS(Data!$C$2:$C$192,$A18)</f>
        <v>12</v>
      </c>
      <c r="C18" s="11" t="n">
        <f aca="false">SUMIFS(Data!$F$2:$F$192,Data!$C$2:$C$192,$A18)</f>
        <v>26321069</v>
      </c>
      <c r="D18" s="12" t="n">
        <f aca="false">IF(AND(B18=12,B17=12),C18/C17-1,"")</f>
        <v>0.0383539019257764</v>
      </c>
      <c r="E18" s="11" t="n">
        <f aca="false">SUMIFS(Data!$G$2:$G$192,Data!$C$2:$C$192,$A18)</f>
        <v>16525835</v>
      </c>
      <c r="F18" s="11" t="n">
        <f aca="false">SUMIFS(Data!$I$2:$I$192,Data!$C$2:$C$192,$A18)</f>
        <v>6410632</v>
      </c>
      <c r="G18" s="13" t="n">
        <f aca="false">SUMIFS(Data!$K$2:$K$192,Data!$C$2:$C$192,$A18)/(SUMIFS(Data!$K$2:$K$192,Data!$C$2:$C$192,$A18)+SUMIFS(Data!$L$2:$L$192,Data!$C$2:$C$192,$A18))</f>
        <v>0.721401291709636</v>
      </c>
      <c r="H18" s="13" t="n">
        <f aca="false">SUMIFS(Data!$M$2:$M$192,Data!$C$2:$C$192,$A18)/(SUMIFS(Data!$M$2:$M$192,Data!$C$2:$C$192,$A18)+SUMIFS(Data!$N$2:$N$192,Data!$C$2:$C$192,$A18))</f>
        <v>0.580911173219655</v>
      </c>
      <c r="I18" s="14" t="n">
        <f aca="false">IF(AND(B18=12,B17=12),(H18-H17)*100,"")</f>
        <v>1.43003276363032</v>
      </c>
      <c r="J18" s="11" t="n">
        <f aca="false">SUMIFS(Data!$O$2:$O$192,Data!$C$2:$C$192,$A18)</f>
        <v>439411</v>
      </c>
      <c r="K18" s="9" t="str">
        <f aca="false">IF(B18&lt;12,"Partial year","Complete")</f>
        <v>Complete</v>
      </c>
    </row>
    <row r="19" customFormat="false" ht="15" hidden="false" customHeight="false" outlineLevel="0" collapsed="false">
      <c r="A19" s="9" t="s">
        <v>52</v>
      </c>
      <c r="B19" s="10" t="n">
        <f aca="false">COUNTIFS(Data!$C$2:$C$192,$A19)</f>
        <v>12</v>
      </c>
      <c r="C19" s="11" t="n">
        <f aca="false">SUMIFS(Data!$F$2:$F$192,Data!$C$2:$C$192,$A19)</f>
        <v>27367598</v>
      </c>
      <c r="D19" s="12" t="n">
        <f aca="false">IF(AND(B19=12,B18=12),C19/C18-1,"")</f>
        <v>0.0397601252441533</v>
      </c>
      <c r="E19" s="11" t="n">
        <f aca="false">SUMIFS(Data!$G$2:$G$192,Data!$C$2:$C$192,$A19)</f>
        <v>16763266</v>
      </c>
      <c r="F19" s="11" t="n">
        <f aca="false">SUMIFS(Data!$I$2:$I$192,Data!$C$2:$C$192,$A19)</f>
        <v>6522815</v>
      </c>
      <c r="G19" s="13" t="n">
        <f aca="false">SUMIFS(Data!$K$2:$K$192,Data!$C$2:$C$192,$A19)/(SUMIFS(Data!$K$2:$K$192,Data!$C$2:$C$192,$A19)+SUMIFS(Data!$L$2:$L$192,Data!$C$2:$C$192,$A19))</f>
        <v>0.73875273964489</v>
      </c>
      <c r="H19" s="13" t="n">
        <f aca="false">SUMIFS(Data!$M$2:$M$192,Data!$C$2:$C$192,$A19)/(SUMIFS(Data!$M$2:$M$192,Data!$C$2:$C$192,$A19)+SUMIFS(Data!$N$2:$N$192,Data!$C$2:$C$192,$A19))</f>
        <v>0.592938750718386</v>
      </c>
      <c r="I19" s="14" t="n">
        <f aca="false">IF(AND(B19=12,B18=12),(H19-H18)*100,"")</f>
        <v>1.20275774987316</v>
      </c>
      <c r="J19" s="11" t="n">
        <f aca="false">SUMIFS(Data!$O$2:$O$192,Data!$C$2:$C$192,$A19)</f>
        <v>532451</v>
      </c>
      <c r="K19" s="9" t="str">
        <f aca="false">IF(B19&lt;12,"Partial year","Complete")</f>
        <v>Complete</v>
      </c>
    </row>
    <row r="20" customFormat="false" ht="15" hidden="false" customHeight="false" outlineLevel="0" collapsed="false">
      <c r="A20" s="9" t="s">
        <v>53</v>
      </c>
      <c r="B20" s="10" t="n">
        <f aca="false">COUNTIFS(Data!$C$2:$C$192,$A20)</f>
        <v>12</v>
      </c>
      <c r="C20" s="11" t="n">
        <f aca="false">SUMIFS(Data!$F$2:$F$192,Data!$C$2:$C$192,$A20)</f>
        <v>27976025</v>
      </c>
      <c r="D20" s="12" t="n">
        <f aca="false">IF(AND(B20=12,B19=12),C20/C19-1,"")</f>
        <v>0.022231655112736</v>
      </c>
      <c r="E20" s="11" t="n">
        <f aca="false">SUMIFS(Data!$G$2:$G$192,Data!$C$2:$C$192,$A20)</f>
        <v>17121495</v>
      </c>
      <c r="F20" s="11" t="n">
        <f aca="false">SUMIFS(Data!$I$2:$I$192,Data!$C$2:$C$192,$A20)</f>
        <v>6451147</v>
      </c>
      <c r="G20" s="13" t="n">
        <f aca="false">SUMIFS(Data!$K$2:$K$192,Data!$C$2:$C$192,$A20)/(SUMIFS(Data!$K$2:$K$192,Data!$C$2:$C$192,$A20)+SUMIFS(Data!$L$2:$L$192,Data!$C$2:$C$192,$A20))</f>
        <v>0.749287613233117</v>
      </c>
      <c r="H20" s="13" t="n">
        <f aca="false">SUMIFS(Data!$M$2:$M$192,Data!$C$2:$C$192,$A20)/(SUMIFS(Data!$M$2:$M$192,Data!$C$2:$C$192,$A20)+SUMIFS(Data!$N$2:$N$192,Data!$C$2:$C$192,$A20))</f>
        <v>0.608723245253992</v>
      </c>
      <c r="I20" s="14" t="n">
        <f aca="false">IF(AND(B20=12,B19=12),(H20-H19)*100,"")</f>
        <v>1.57844945356058</v>
      </c>
      <c r="J20" s="11" t="n">
        <f aca="false">SUMIFS(Data!$O$2:$O$192,Data!$C$2:$C$192,$A20)</f>
        <v>570957</v>
      </c>
      <c r="K20" s="9" t="str">
        <f aca="false">IF(B20&lt;12,"Partial year","Complete")</f>
        <v>Complete</v>
      </c>
    </row>
    <row r="21" customFormat="false" ht="15" hidden="false" customHeight="false" outlineLevel="0" collapsed="false">
      <c r="A21" s="9" t="s">
        <v>54</v>
      </c>
      <c r="B21" s="10" t="n">
        <f aca="false">COUNTIFS(Data!$C$2:$C$192,$A21)</f>
        <v>6</v>
      </c>
      <c r="C21" s="11" t="n">
        <f aca="false">SUMIFS(Data!$F$2:$F$192,Data!$C$2:$C$192,$A21)</f>
        <v>14515915</v>
      </c>
      <c r="D21" s="12" t="str">
        <f aca="false">IF(AND(B21=12,B20=12),C21/C20-1,"")</f>
        <v/>
      </c>
      <c r="E21" s="11" t="n">
        <f aca="false">SUMIFS(Data!$G$2:$G$192,Data!$C$2:$C$192,$A21)</f>
        <v>8869187</v>
      </c>
      <c r="F21" s="11" t="n">
        <f aca="false">SUMIFS(Data!$I$2:$I$192,Data!$C$2:$C$192,$A21)</f>
        <v>3195547</v>
      </c>
      <c r="G21" s="13" t="n">
        <f aca="false">SUMIFS(Data!$K$2:$K$192,Data!$C$2:$C$192,$A21)/(SUMIFS(Data!$K$2:$K$192,Data!$C$2:$C$192,$A21)+SUMIFS(Data!$L$2:$L$192,Data!$C$2:$C$192,$A21))</f>
        <v>0.753933596332026</v>
      </c>
      <c r="H21" s="13" t="n">
        <f aca="false">SUMIFS(Data!$M$2:$M$192,Data!$C$2:$C$192,$A21)/(SUMIFS(Data!$M$2:$M$192,Data!$C$2:$C$192,$A21)+SUMIFS(Data!$N$2:$N$192,Data!$C$2:$C$192,$A21))</f>
        <v>0.617101093933412</v>
      </c>
      <c r="I21" s="14" t="str">
        <f aca="false">IF(AND(B21=12,B20=12),(H21-H20)*100,"")</f>
        <v/>
      </c>
      <c r="J21" s="11" t="n">
        <f aca="false">SUMIFS(Data!$O$2:$O$192,Data!$C$2:$C$192,$A21)</f>
        <v>290399</v>
      </c>
      <c r="K21" s="9" t="str">
        <f aca="false">IF(B21&lt;12,"Partial year","Complete")</f>
        <v>Partial year</v>
      </c>
    </row>
  </sheetData>
  <conditionalFormatting sqref="H5:H21">
    <cfRule type="cellIs" priority="2" operator="lessThan" aboveAverage="0" equalAverage="0" bottom="0" percent="0" rank="0" text="" dxfId="0">
      <formula>$N$4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8"/>
  </cols>
  <sheetData>
    <row r="1" customFormat="false" ht="17.35" hidden="false" customHeight="false" outlineLevel="0" collapsed="false">
      <c r="A1" s="4" t="s">
        <v>55</v>
      </c>
    </row>
    <row r="2" customFormat="false" ht="15" hidden="false" customHeight="false" outlineLevel="0" collapsed="false">
      <c r="A2" s="5" t="s">
        <v>56</v>
      </c>
    </row>
    <row r="4" customFormat="false" ht="15" hidden="false" customHeight="false" outlineLevel="0" collapsed="false">
      <c r="A4" s="7" t="s">
        <v>57</v>
      </c>
      <c r="B4" s="15" t="s">
        <v>58</v>
      </c>
      <c r="D4" s="16" t="s">
        <v>59</v>
      </c>
      <c r="E4" s="16" t="n">
        <f aca="false">MATCH($B$4,Data!$B$2:$B$192,0)</f>
        <v>191</v>
      </c>
    </row>
    <row r="5" customFormat="false" ht="15" hidden="false" customHeight="false" outlineLevel="0" collapsed="false">
      <c r="A5" s="7" t="s">
        <v>60</v>
      </c>
      <c r="B5" s="0" t="str">
        <f aca="false">IFERROR(INDEX(Data!$B$2:$B$192,E5),"Not available")</f>
        <v>Sep 2025</v>
      </c>
      <c r="D5" s="16" t="s">
        <v>61</v>
      </c>
      <c r="E5" s="16" t="n">
        <f aca="false">IFERROR(MATCH(EDATE(INDEX(Data!$A$2:$A$192,E4),-12),Data!$A$2:$A$192,0),NA())</f>
        <v>179</v>
      </c>
    </row>
    <row r="7" customFormat="false" ht="26.85" hidden="false" customHeight="false" outlineLevel="0" collapsed="false">
      <c r="A7" s="6" t="s">
        <v>62</v>
      </c>
      <c r="B7" s="6" t="s">
        <v>57</v>
      </c>
      <c r="C7" s="6" t="s">
        <v>60</v>
      </c>
      <c r="D7" s="6" t="s">
        <v>63</v>
      </c>
    </row>
    <row r="8" customFormat="false" ht="15" hidden="false" customHeight="false" outlineLevel="0" collapsed="false">
      <c r="A8" s="9" t="s">
        <v>27</v>
      </c>
      <c r="B8" s="11" t="n">
        <f aca="false">INDEX(Data!$F$2:$F$192,$E$4)</f>
        <v>2444743</v>
      </c>
      <c r="C8" s="11" t="n">
        <f aca="false">IFERROR(INDEX(Data!$F$2:$F$192,$E$5),"")</f>
        <v>2310222</v>
      </c>
      <c r="D8" s="12" t="n">
        <f aca="false">IFERROR(B8/C8-1,"")</f>
        <v>0.0582286031385728</v>
      </c>
    </row>
    <row r="9" customFormat="false" ht="15" hidden="false" customHeight="false" outlineLevel="0" collapsed="false">
      <c r="A9" s="9" t="s">
        <v>29</v>
      </c>
      <c r="B9" s="11" t="n">
        <f aca="false">INDEX(Data!$G$2:$G$192,$E$4)</f>
        <v>1503149</v>
      </c>
      <c r="C9" s="11" t="n">
        <f aca="false">IFERROR(INDEX(Data!$G$2:$G$192,$E$5),"")</f>
        <v>1417440</v>
      </c>
      <c r="D9" s="12" t="n">
        <f aca="false">IFERROR(B9/C9-1,"")</f>
        <v>0.0604674624675472</v>
      </c>
    </row>
    <row r="10" customFormat="false" ht="15" hidden="false" customHeight="false" outlineLevel="0" collapsed="false">
      <c r="A10" s="9" t="s">
        <v>30</v>
      </c>
      <c r="B10" s="11" t="n">
        <f aca="false">INDEX(Data!$I$2:$I$192,$E$4)</f>
        <v>536158</v>
      </c>
      <c r="C10" s="11" t="n">
        <f aca="false">IFERROR(INDEX(Data!$I$2:$I$192,$E$5),"")</f>
        <v>535580</v>
      </c>
      <c r="D10" s="12" t="n">
        <f aca="false">IFERROR(B10/C10-1,"")</f>
        <v>0.00107920385376592</v>
      </c>
    </row>
    <row r="11" customFormat="false" ht="15" hidden="false" customHeight="false" outlineLevel="0" collapsed="false">
      <c r="A11" s="9" t="s">
        <v>31</v>
      </c>
      <c r="B11" s="13" t="n">
        <f aca="false">INDEX(Data!$R$2:$R$192,$E$4)</f>
        <v>0.743633175348084</v>
      </c>
      <c r="C11" s="13" t="n">
        <f aca="false">IFERROR(INDEX(Data!$R$2:$R$192,$E$5),"")</f>
        <v>0.750504064111588</v>
      </c>
      <c r="D11" s="17" t="n">
        <f aca="false">IFERROR((B11-C11)*100,"")</f>
        <v>-0.687088876350395</v>
      </c>
    </row>
    <row r="12" customFormat="false" ht="15" hidden="false" customHeight="false" outlineLevel="0" collapsed="false">
      <c r="A12" s="9" t="s">
        <v>32</v>
      </c>
      <c r="B12" s="13" t="n">
        <f aca="false">INDEX(Data!$S$2:$S$192,$E$4)</f>
        <v>0.605772947325914</v>
      </c>
      <c r="C12" s="13" t="n">
        <f aca="false">IFERROR(INDEX(Data!$S$2:$S$192,$E$5),"")</f>
        <v>0.610802573653911</v>
      </c>
      <c r="D12" s="17" t="n">
        <f aca="false">IFERROR((B12-C12)*100,"")</f>
        <v>-0.502962632799753</v>
      </c>
    </row>
    <row r="13" customFormat="false" ht="15" hidden="false" customHeight="false" outlineLevel="0" collapsed="false">
      <c r="A13" s="9" t="s">
        <v>64</v>
      </c>
      <c r="B13" s="13" t="n">
        <f aca="false">INDEX(Data!$T$2:$T$192,$E$4)</f>
        <v>0.262565454256364</v>
      </c>
      <c r="C13" s="13" t="n">
        <f aca="false">IFERROR(INDEX(Data!$T$2:$T$192,$E$5),"")</f>
        <v>0.278709504458743</v>
      </c>
      <c r="D13" s="17" t="n">
        <f aca="false">IFERROR((B13-C13)*100,"")</f>
        <v>-1.61440502023781</v>
      </c>
    </row>
    <row r="14" customFormat="false" ht="15" hidden="false" customHeight="false" outlineLevel="0" collapsed="false">
      <c r="A14" s="9" t="s">
        <v>65</v>
      </c>
      <c r="B14" s="11" t="n">
        <f aca="false">INDEX(Data!$O$2:$O$192,$E$4)</f>
        <v>50582</v>
      </c>
      <c r="C14" s="11" t="n">
        <f aca="false">IFERROR(INDEX(Data!$O$2:$O$192,$E$5),"")</f>
        <v>44765</v>
      </c>
      <c r="D14" s="12" t="n">
        <f aca="false">IFERROR(B14/C14-1,"")</f>
        <v>0.129945269741986</v>
      </c>
    </row>
    <row r="16" customFormat="false" ht="15" hidden="false" customHeight="false" outlineLevel="0" collapsed="false">
      <c r="A16" s="7" t="s">
        <v>66</v>
      </c>
      <c r="B16" s="18" t="str">
        <f aca="false">IF(INDEX(Data!$P$2:$P$192,$E$4)=1,"CRS field test: 14 trusts missing from 4-hour data",IF(INDEX(Data!$Q$2:$Q$192,$E$4)=1,"Estimated by NHS England from weekly data","None"))</f>
        <v>None</v>
      </c>
    </row>
  </sheetData>
  <dataValidations count="1">
    <dataValidation allowBlank="false" errorStyle="stop" operator="between" showDropDown="false" showErrorMessage="false" showInputMessage="false" sqref="B4" type="list">
      <formula1>Data!$B$2:$B$192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4" t="s">
        <v>67</v>
      </c>
    </row>
    <row r="2" customFormat="false" ht="15" hidden="false" customHeight="false" outlineLevel="0" collapsed="false">
      <c r="A2" s="5" t="s">
        <v>68</v>
      </c>
    </row>
    <row r="4" customFormat="false" ht="15" hidden="false" customHeight="false" outlineLevel="0" collapsed="false">
      <c r="B4" s="0" t="s">
        <v>69</v>
      </c>
      <c r="C4" s="19" t="n">
        <v>44652</v>
      </c>
      <c r="D4" s="5" t="s">
        <v>70</v>
      </c>
    </row>
    <row r="5" customFormat="false" ht="15" hidden="false" customHeight="false" outlineLevel="0" collapsed="false">
      <c r="B5" s="0" t="s">
        <v>71</v>
      </c>
      <c r="C5" s="19" t="n">
        <v>46082</v>
      </c>
    </row>
    <row r="6" customFormat="false" ht="15" hidden="false" customHeight="false" outlineLevel="0" collapsed="false">
      <c r="B6" s="0" t="s">
        <v>72</v>
      </c>
      <c r="C6" s="0" t="n">
        <f aca="false">SUM(Data!$U$2:$U$192)</f>
        <v>48</v>
      </c>
    </row>
    <row r="8" customFormat="false" ht="26.85" hidden="false" customHeight="false" outlineLevel="0" collapsed="false">
      <c r="B8" s="6" t="s">
        <v>73</v>
      </c>
      <c r="C8" s="6" t="s">
        <v>74</v>
      </c>
      <c r="D8" s="6" t="s">
        <v>75</v>
      </c>
      <c r="E8" s="6" t="s">
        <v>76</v>
      </c>
    </row>
    <row r="9" customFormat="false" ht="15" hidden="false" customHeight="false" outlineLevel="0" collapsed="false">
      <c r="B9" s="9" t="s">
        <v>77</v>
      </c>
      <c r="C9" s="11" t="n">
        <f aca="false">AVERAGEIFS(Data!$F$2:$F$192,Data!$D$2:$D$192,$B9,Data!$U$2:$U$192,1)</f>
        <v>2184147.25</v>
      </c>
      <c r="D9" s="13" t="n">
        <f aca="false">AVERAGEIFS(Data!$S$2:$S$192,Data!$D$2:$D$192,$B9,Data!$U$2:$U$192,1)</f>
        <v>0.571275986910506</v>
      </c>
      <c r="E9" s="11" t="n">
        <f aca="false">AVERAGEIFS(Data!$O$2:$O$192,Data!$D$2:$D$192,$B9,Data!$U$2:$U$192,1)</f>
        <v>57531.25</v>
      </c>
    </row>
    <row r="10" customFormat="false" ht="15" hidden="false" customHeight="false" outlineLevel="0" collapsed="false">
      <c r="B10" s="9" t="s">
        <v>78</v>
      </c>
      <c r="C10" s="11" t="n">
        <f aca="false">AVERAGEIFS(Data!$F$2:$F$192,Data!$D$2:$D$192,$B10,Data!$U$2:$U$192,1)</f>
        <v>2069405.5</v>
      </c>
      <c r="D10" s="13" t="n">
        <f aca="false">AVERAGEIFS(Data!$S$2:$S$192,Data!$D$2:$D$192,$B10,Data!$U$2:$U$192,1)</f>
        <v>0.577360329375898</v>
      </c>
      <c r="E10" s="11" t="n">
        <f aca="false">AVERAGEIFS(Data!$O$2:$O$192,Data!$D$2:$D$192,$B10,Data!$U$2:$U$192,1)</f>
        <v>45416.75</v>
      </c>
    </row>
    <row r="11" customFormat="false" ht="15" hidden="false" customHeight="false" outlineLevel="0" collapsed="false">
      <c r="B11" s="9" t="s">
        <v>79</v>
      </c>
      <c r="C11" s="11" t="n">
        <f aca="false">AVERAGEIFS(Data!$F$2:$F$192,Data!$D$2:$D$192,$B11,Data!$U$2:$U$192,1)</f>
        <v>2339377</v>
      </c>
      <c r="D11" s="13" t="n">
        <f aca="false">AVERAGEIFS(Data!$S$2:$S$192,Data!$D$2:$D$192,$B11,Data!$U$2:$U$192,1)</f>
        <v>0.606834804349424</v>
      </c>
      <c r="E11" s="11" t="n">
        <f aca="false">AVERAGEIFS(Data!$O$2:$O$192,Data!$D$2:$D$192,$B11,Data!$U$2:$U$192,1)</f>
        <v>44022.5</v>
      </c>
    </row>
    <row r="12" customFormat="false" ht="15" hidden="false" customHeight="false" outlineLevel="0" collapsed="false">
      <c r="B12" s="9" t="s">
        <v>80</v>
      </c>
      <c r="C12" s="11" t="n">
        <f aca="false">AVERAGEIFS(Data!$F$2:$F$192,Data!$D$2:$D$192,$B12,Data!$U$2:$U$192,1)</f>
        <v>2150231.25</v>
      </c>
      <c r="D12" s="13" t="n">
        <f aca="false">AVERAGEIFS(Data!$S$2:$S$192,Data!$D$2:$D$192,$B12,Data!$U$2:$U$192,1)</f>
        <v>0.601368001712375</v>
      </c>
      <c r="E12" s="11" t="n">
        <f aca="false">AVERAGEIFS(Data!$O$2:$O$192,Data!$D$2:$D$192,$B12,Data!$U$2:$U$192,1)</f>
        <v>34349.25</v>
      </c>
    </row>
    <row r="13" customFormat="false" ht="15" hidden="false" customHeight="false" outlineLevel="0" collapsed="false">
      <c r="B13" s="9" t="s">
        <v>81</v>
      </c>
      <c r="C13" s="11" t="n">
        <f aca="false">AVERAGEIFS(Data!$F$2:$F$192,Data!$D$2:$D$192,$B13,Data!$U$2:$U$192,1)</f>
        <v>2323198.25</v>
      </c>
      <c r="D13" s="13" t="n">
        <f aca="false">AVERAGEIFS(Data!$S$2:$S$192,Data!$D$2:$D$192,$B13,Data!$U$2:$U$192,1)</f>
        <v>0.603337557147674</v>
      </c>
      <c r="E13" s="11" t="n">
        <f aca="false">AVERAGEIFS(Data!$O$2:$O$192,Data!$D$2:$D$192,$B13,Data!$U$2:$U$192,1)</f>
        <v>34150.25</v>
      </c>
    </row>
    <row r="14" customFormat="false" ht="15" hidden="false" customHeight="false" outlineLevel="0" collapsed="false">
      <c r="B14" s="9" t="s">
        <v>82</v>
      </c>
      <c r="C14" s="11" t="n">
        <f aca="false">AVERAGEIFS(Data!$F$2:$F$192,Data!$D$2:$D$192,$B14,Data!$U$2:$U$192,1)</f>
        <v>2265765.75</v>
      </c>
      <c r="D14" s="13" t="n">
        <f aca="false">AVERAGEIFS(Data!$S$2:$S$192,Data!$D$2:$D$192,$B14,Data!$U$2:$U$192,1)</f>
        <v>0.602841236382056</v>
      </c>
      <c r="E14" s="11" t="n">
        <f aca="false">AVERAGEIFS(Data!$O$2:$O$192,Data!$D$2:$D$192,$B14,Data!$U$2:$U$192,1)</f>
        <v>31323.5</v>
      </c>
    </row>
    <row r="15" customFormat="false" ht="15" hidden="false" customHeight="false" outlineLevel="0" collapsed="false">
      <c r="B15" s="9" t="s">
        <v>83</v>
      </c>
      <c r="C15" s="11" t="n">
        <f aca="false">AVERAGEIFS(Data!$F$2:$F$192,Data!$D$2:$D$192,$B15,Data!$U$2:$U$192,1)</f>
        <v>2278785</v>
      </c>
      <c r="D15" s="13" t="n">
        <f aca="false">AVERAGEIFS(Data!$S$2:$S$192,Data!$D$2:$D$192,$B15,Data!$U$2:$U$192,1)</f>
        <v>0.606267810795342</v>
      </c>
      <c r="E15" s="11" t="n">
        <f aca="false">AVERAGEIFS(Data!$O$2:$O$192,Data!$D$2:$D$192,$B15,Data!$U$2:$U$192,1)</f>
        <v>31202</v>
      </c>
    </row>
    <row r="16" customFormat="false" ht="15" hidden="false" customHeight="false" outlineLevel="0" collapsed="false">
      <c r="B16" s="9" t="s">
        <v>84</v>
      </c>
      <c r="C16" s="11" t="n">
        <f aca="false">AVERAGEIFS(Data!$F$2:$F$192,Data!$D$2:$D$192,$B16,Data!$U$2:$U$192,1)</f>
        <v>2133317</v>
      </c>
      <c r="D16" s="13" t="n">
        <f aca="false">AVERAGEIFS(Data!$S$2:$S$192,Data!$D$2:$D$192,$B16,Data!$U$2:$U$192,1)</f>
        <v>0.604259535107809</v>
      </c>
      <c r="E16" s="11" t="n">
        <f aca="false">AVERAGEIFS(Data!$O$2:$O$192,Data!$D$2:$D$192,$B16,Data!$U$2:$U$192,1)</f>
        <v>30200.75</v>
      </c>
    </row>
    <row r="17" customFormat="false" ht="15" hidden="false" customHeight="false" outlineLevel="0" collapsed="false">
      <c r="B17" s="9" t="s">
        <v>85</v>
      </c>
      <c r="C17" s="11" t="n">
        <f aca="false">AVERAGEIFS(Data!$F$2:$F$192,Data!$D$2:$D$192,$B17,Data!$U$2:$U$192,1)</f>
        <v>2175743.5</v>
      </c>
      <c r="D17" s="13" t="n">
        <f aca="false">AVERAGEIFS(Data!$S$2:$S$192,Data!$D$2:$D$192,$B17,Data!$U$2:$U$192,1)</f>
        <v>0.58855824520415</v>
      </c>
      <c r="E17" s="11" t="n">
        <f aca="false">AVERAGEIFS(Data!$O$2:$O$192,Data!$D$2:$D$192,$B17,Data!$U$2:$U$192,1)</f>
        <v>37158.75</v>
      </c>
    </row>
    <row r="18" customFormat="false" ht="15" hidden="false" customHeight="false" outlineLevel="0" collapsed="false">
      <c r="B18" s="9" t="s">
        <v>86</v>
      </c>
      <c r="C18" s="11" t="n">
        <f aca="false">AVERAGEIFS(Data!$F$2:$F$192,Data!$D$2:$D$192,$B18,Data!$U$2:$U$192,1)</f>
        <v>2293537.5</v>
      </c>
      <c r="D18" s="13" t="n">
        <f aca="false">AVERAGEIFS(Data!$S$2:$S$192,Data!$D$2:$D$192,$B18,Data!$U$2:$U$192,1)</f>
        <v>0.572199420806691</v>
      </c>
      <c r="E18" s="11" t="n">
        <f aca="false">AVERAGEIFS(Data!$O$2:$O$192,Data!$D$2:$D$192,$B18,Data!$U$2:$U$192,1)</f>
        <v>47817.25</v>
      </c>
    </row>
    <row r="19" customFormat="false" ht="15" hidden="false" customHeight="false" outlineLevel="0" collapsed="false">
      <c r="B19" s="9" t="s">
        <v>87</v>
      </c>
      <c r="C19" s="11" t="n">
        <f aca="false">AVERAGEIFS(Data!$F$2:$F$192,Data!$D$2:$D$192,$B19,Data!$U$2:$U$192,1)</f>
        <v>2252108</v>
      </c>
      <c r="D19" s="13" t="n">
        <f aca="false">AVERAGEIFS(Data!$S$2:$S$192,Data!$D$2:$D$192,$B19,Data!$U$2:$U$192,1)</f>
        <v>0.56800901437771</v>
      </c>
      <c r="E19" s="11" t="n">
        <f aca="false">AVERAGEIFS(Data!$O$2:$O$192,Data!$D$2:$D$192,$B19,Data!$U$2:$U$192,1)</f>
        <v>44198.75</v>
      </c>
    </row>
    <row r="20" customFormat="false" ht="15" hidden="false" customHeight="false" outlineLevel="0" collapsed="false">
      <c r="B20" s="9" t="s">
        <v>88</v>
      </c>
      <c r="C20" s="11" t="n">
        <f aca="false">AVERAGEIFS(Data!$F$2:$F$192,Data!$D$2:$D$192,$B20,Data!$U$2:$U$192,1)</f>
        <v>2287767.5</v>
      </c>
      <c r="D20" s="13" t="n">
        <f aca="false">AVERAGEIFS(Data!$S$2:$S$192,Data!$D$2:$D$192,$B20,Data!$U$2:$U$192,1)</f>
        <v>0.548168562115521</v>
      </c>
      <c r="E20" s="11" t="n">
        <f aca="false">AVERAGEIFS(Data!$O$2:$O$192,Data!$D$2:$D$192,$B20,Data!$U$2:$U$192,1)</f>
        <v>50856.75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21" min="6" style="0" width="13"/>
  </cols>
  <sheetData>
    <row r="1" customFormat="false" ht="45" hidden="false" customHeight="true" outlineLevel="0" collapsed="false">
      <c r="A1" s="6" t="s">
        <v>73</v>
      </c>
      <c r="B1" s="6" t="s">
        <v>89</v>
      </c>
      <c r="C1" s="6" t="s">
        <v>25</v>
      </c>
      <c r="D1" s="6" t="s">
        <v>90</v>
      </c>
      <c r="E1" s="6" t="s">
        <v>91</v>
      </c>
      <c r="F1" s="6" t="s">
        <v>27</v>
      </c>
      <c r="G1" s="6" t="s">
        <v>29</v>
      </c>
      <c r="H1" s="6" t="s">
        <v>92</v>
      </c>
      <c r="I1" s="6" t="s">
        <v>30</v>
      </c>
      <c r="J1" s="6" t="s">
        <v>93</v>
      </c>
      <c r="K1" s="6" t="s">
        <v>94</v>
      </c>
      <c r="L1" s="6" t="s">
        <v>95</v>
      </c>
      <c r="M1" s="6" t="s">
        <v>96</v>
      </c>
      <c r="N1" s="6" t="s">
        <v>97</v>
      </c>
      <c r="O1" s="6" t="s">
        <v>65</v>
      </c>
      <c r="P1" s="6" t="s">
        <v>98</v>
      </c>
      <c r="Q1" s="6" t="s">
        <v>99</v>
      </c>
      <c r="R1" s="6" t="s">
        <v>31</v>
      </c>
      <c r="S1" s="6" t="s">
        <v>32</v>
      </c>
      <c r="T1" s="6" t="s">
        <v>64</v>
      </c>
      <c r="U1" s="6" t="s">
        <v>100</v>
      </c>
    </row>
    <row r="2" customFormat="false" ht="15" hidden="false" customHeight="false" outlineLevel="0" collapsed="false">
      <c r="A2" s="20" t="n">
        <v>40483</v>
      </c>
      <c r="B2" s="21" t="s">
        <v>101</v>
      </c>
      <c r="C2" s="21" t="s">
        <v>37</v>
      </c>
      <c r="D2" s="21" t="s">
        <v>87</v>
      </c>
      <c r="E2" s="21" t="s">
        <v>102</v>
      </c>
      <c r="F2" s="22" t="n">
        <v>1651027</v>
      </c>
      <c r="G2" s="22" t="n">
        <v>1111295</v>
      </c>
      <c r="H2" s="22" t="n">
        <v>486005</v>
      </c>
      <c r="I2" s="22" t="n">
        <v>429099</v>
      </c>
      <c r="J2" s="22" t="n">
        <v>297832</v>
      </c>
      <c r="K2" s="22" t="n">
        <v>1604591</v>
      </c>
      <c r="L2" s="22" t="n">
        <v>46436</v>
      </c>
      <c r="M2" s="22" t="n">
        <v>1065456</v>
      </c>
      <c r="N2" s="22" t="n">
        <v>45838</v>
      </c>
      <c r="O2" s="22" t="n">
        <v>2</v>
      </c>
      <c r="P2" s="23" t="n">
        <v>0</v>
      </c>
      <c r="Q2" s="23" t="n">
        <v>1</v>
      </c>
      <c r="R2" s="24" t="n">
        <f aca="false">K2/(K2+L2)</f>
        <v>0.971874475705122</v>
      </c>
      <c r="S2" s="24" t="n">
        <f aca="false">M2/(M2+N2)</f>
        <v>0.958752589323797</v>
      </c>
      <c r="T2" s="24" t="n">
        <f aca="false">J2/G2</f>
        <v>0.268004445264309</v>
      </c>
      <c r="U2" s="21" t="n">
        <f aca="false">IF(AND(A2&gt;=Seasonality!$C$4,A2&lt;=Seasonality!$C$5),1,0)</f>
        <v>0</v>
      </c>
    </row>
    <row r="3" customFormat="false" ht="15" hidden="false" customHeight="false" outlineLevel="0" collapsed="false">
      <c r="A3" s="20" t="n">
        <v>40513</v>
      </c>
      <c r="B3" s="21" t="s">
        <v>103</v>
      </c>
      <c r="C3" s="21" t="s">
        <v>37</v>
      </c>
      <c r="D3" s="21" t="s">
        <v>88</v>
      </c>
      <c r="E3" s="21" t="s">
        <v>104</v>
      </c>
      <c r="F3" s="22" t="n">
        <v>1737741</v>
      </c>
      <c r="G3" s="22" t="n">
        <v>1159204</v>
      </c>
      <c r="H3" s="22" t="n">
        <v>533001</v>
      </c>
      <c r="I3" s="22" t="n">
        <v>452729</v>
      </c>
      <c r="J3" s="22" t="n">
        <v>318602</v>
      </c>
      <c r="K3" s="22" t="n">
        <v>1647824</v>
      </c>
      <c r="L3" s="22" t="n">
        <v>89917</v>
      </c>
      <c r="M3" s="22" t="n">
        <v>1070729</v>
      </c>
      <c r="N3" s="22" t="n">
        <v>88475</v>
      </c>
      <c r="O3" s="22" t="n">
        <v>15</v>
      </c>
      <c r="P3" s="23" t="n">
        <v>0</v>
      </c>
      <c r="Q3" s="23" t="n">
        <v>1</v>
      </c>
      <c r="R3" s="24" t="n">
        <f aca="false">K3/(K3+L3)</f>
        <v>0.948256385732972</v>
      </c>
      <c r="S3" s="24" t="n">
        <f aca="false">M3/(M3+N3)</f>
        <v>0.923676074271655</v>
      </c>
      <c r="T3" s="24" t="n">
        <f aca="false">J3/G3</f>
        <v>0.274845497427545</v>
      </c>
      <c r="U3" s="21" t="n">
        <f aca="false">IF(AND(A3&gt;=Seasonality!$C$4,A3&lt;=Seasonality!$C$5),1,0)</f>
        <v>0</v>
      </c>
    </row>
    <row r="4" customFormat="false" ht="15" hidden="false" customHeight="false" outlineLevel="0" collapsed="false">
      <c r="A4" s="20" t="n">
        <v>40544</v>
      </c>
      <c r="B4" s="21" t="s">
        <v>105</v>
      </c>
      <c r="C4" s="21" t="s">
        <v>37</v>
      </c>
      <c r="D4" s="21" t="s">
        <v>77</v>
      </c>
      <c r="E4" s="21" t="s">
        <v>104</v>
      </c>
      <c r="F4" s="22" t="n">
        <v>1727797</v>
      </c>
      <c r="G4" s="22" t="n">
        <v>1133881</v>
      </c>
      <c r="H4" s="22" t="n">
        <v>542331</v>
      </c>
      <c r="I4" s="22" t="n">
        <v>442004</v>
      </c>
      <c r="J4" s="22" t="n">
        <v>308368</v>
      </c>
      <c r="K4" s="22" t="n">
        <v>1654907</v>
      </c>
      <c r="L4" s="22" t="n">
        <v>72889</v>
      </c>
      <c r="M4" s="22" t="n">
        <v>1061898</v>
      </c>
      <c r="N4" s="22" t="n">
        <v>71983</v>
      </c>
      <c r="O4" s="22" t="n">
        <v>17</v>
      </c>
      <c r="P4" s="23" t="n">
        <v>0</v>
      </c>
      <c r="Q4" s="23" t="n">
        <v>1</v>
      </c>
      <c r="R4" s="24" t="n">
        <f aca="false">K4/(K4+L4)</f>
        <v>0.957813885435549</v>
      </c>
      <c r="S4" s="24" t="n">
        <f aca="false">M4/(M4+N4)</f>
        <v>0.936516265816254</v>
      </c>
      <c r="T4" s="24" t="n">
        <f aca="false">J4/G4</f>
        <v>0.271957992064423</v>
      </c>
      <c r="U4" s="21" t="n">
        <f aca="false">IF(AND(A4&gt;=Seasonality!$C$4,A4&lt;=Seasonality!$C$5),1,0)</f>
        <v>0</v>
      </c>
    </row>
    <row r="5" customFormat="false" ht="15" hidden="false" customHeight="false" outlineLevel="0" collapsed="false">
      <c r="A5" s="20" t="n">
        <v>40575</v>
      </c>
      <c r="B5" s="21" t="s">
        <v>106</v>
      </c>
      <c r="C5" s="21" t="s">
        <v>37</v>
      </c>
      <c r="D5" s="21" t="s">
        <v>78</v>
      </c>
      <c r="E5" s="21" t="s">
        <v>104</v>
      </c>
      <c r="F5" s="22" t="n">
        <v>1599364</v>
      </c>
      <c r="G5" s="22" t="n">
        <v>1053707</v>
      </c>
      <c r="H5" s="22" t="n">
        <v>494408</v>
      </c>
      <c r="I5" s="22" t="n">
        <v>401206</v>
      </c>
      <c r="J5" s="22" t="n">
        <v>276646</v>
      </c>
      <c r="K5" s="22" t="n">
        <v>1552421</v>
      </c>
      <c r="L5" s="22" t="n">
        <v>46943</v>
      </c>
      <c r="M5" s="22" t="n">
        <v>1007385</v>
      </c>
      <c r="N5" s="22" t="n">
        <v>46322</v>
      </c>
      <c r="O5" s="22" t="n">
        <v>3</v>
      </c>
      <c r="P5" s="23" t="n">
        <v>0</v>
      </c>
      <c r="Q5" s="23" t="n">
        <v>1</v>
      </c>
      <c r="R5" s="24" t="n">
        <f aca="false">K5/(K5+L5)</f>
        <v>0.970648957960789</v>
      </c>
      <c r="S5" s="24" t="n">
        <f aca="false">M5/(M5+N5)</f>
        <v>0.956039012742632</v>
      </c>
      <c r="T5" s="24" t="n">
        <f aca="false">J5/G5</f>
        <v>0.262545470420145</v>
      </c>
      <c r="U5" s="21" t="n">
        <f aca="false">IF(AND(A5&gt;=Seasonality!$C$4,A5&lt;=Seasonality!$C$5),1,0)</f>
        <v>0</v>
      </c>
    </row>
    <row r="6" customFormat="false" ht="15" hidden="false" customHeight="false" outlineLevel="0" collapsed="false">
      <c r="A6" s="20" t="n">
        <v>40603</v>
      </c>
      <c r="B6" s="21" t="s">
        <v>107</v>
      </c>
      <c r="C6" s="21" t="s">
        <v>37</v>
      </c>
      <c r="D6" s="21" t="s">
        <v>79</v>
      </c>
      <c r="E6" s="21" t="s">
        <v>108</v>
      </c>
      <c r="F6" s="22" t="n">
        <v>1863441</v>
      </c>
      <c r="G6" s="22" t="n">
        <v>1225222</v>
      </c>
      <c r="H6" s="22" t="n">
        <v>580319</v>
      </c>
      <c r="I6" s="22" t="n">
        <v>446846</v>
      </c>
      <c r="J6" s="22" t="n">
        <v>308390</v>
      </c>
      <c r="K6" s="22" t="n">
        <v>1804268</v>
      </c>
      <c r="L6" s="22" t="n">
        <v>59173</v>
      </c>
      <c r="M6" s="22" t="n">
        <v>1167090</v>
      </c>
      <c r="N6" s="22" t="n">
        <v>58132</v>
      </c>
      <c r="O6" s="22" t="n">
        <v>1</v>
      </c>
      <c r="P6" s="23" t="n">
        <v>0</v>
      </c>
      <c r="Q6" s="23" t="n">
        <v>1</v>
      </c>
      <c r="R6" s="24" t="n">
        <f aca="false">K6/(K6+L6)</f>
        <v>0.968245305324934</v>
      </c>
      <c r="S6" s="24" t="n">
        <f aca="false">M6/(M6+N6)</f>
        <v>0.952553904516896</v>
      </c>
      <c r="T6" s="24" t="n">
        <f aca="false">J6/G6</f>
        <v>0.251701324331427</v>
      </c>
      <c r="U6" s="21" t="n">
        <f aca="false">IF(AND(A6&gt;=Seasonality!$C$4,A6&lt;=Seasonality!$C$5),1,0)</f>
        <v>0</v>
      </c>
    </row>
    <row r="7" customFormat="false" ht="15" hidden="false" customHeight="false" outlineLevel="0" collapsed="false">
      <c r="A7" s="20" t="n">
        <v>40634</v>
      </c>
      <c r="B7" s="21" t="s">
        <v>109</v>
      </c>
      <c r="C7" s="21" t="s">
        <v>39</v>
      </c>
      <c r="D7" s="21" t="s">
        <v>80</v>
      </c>
      <c r="E7" s="21" t="s">
        <v>108</v>
      </c>
      <c r="F7" s="22" t="n">
        <v>1844375</v>
      </c>
      <c r="G7" s="22" t="n">
        <v>1197213</v>
      </c>
      <c r="H7" s="22" t="n">
        <v>593120</v>
      </c>
      <c r="I7" s="22" t="n">
        <v>419243</v>
      </c>
      <c r="J7" s="22" t="n">
        <v>295580</v>
      </c>
      <c r="K7" s="22" t="n">
        <v>1786995</v>
      </c>
      <c r="L7" s="22" t="n">
        <v>57380</v>
      </c>
      <c r="M7" s="22" t="n">
        <v>1140917</v>
      </c>
      <c r="N7" s="22" t="n">
        <v>56295</v>
      </c>
      <c r="O7" s="22" t="n">
        <v>6</v>
      </c>
      <c r="P7" s="23" t="n">
        <v>0</v>
      </c>
      <c r="Q7" s="23" t="n">
        <v>1</v>
      </c>
      <c r="R7" s="24" t="n">
        <f aca="false">K7/(K7+L7)</f>
        <v>0.968889190105049</v>
      </c>
      <c r="S7" s="24" t="n">
        <f aca="false">M7/(M7+N7)</f>
        <v>0.952978252807356</v>
      </c>
      <c r="T7" s="24" t="n">
        <f aca="false">J7/G7</f>
        <v>0.246890068851574</v>
      </c>
      <c r="U7" s="21" t="n">
        <f aca="false">IF(AND(A7&gt;=Seasonality!$C$4,A7&lt;=Seasonality!$C$5),1,0)</f>
        <v>0</v>
      </c>
    </row>
    <row r="8" customFormat="false" ht="15" hidden="false" customHeight="false" outlineLevel="0" collapsed="false">
      <c r="A8" s="20" t="n">
        <v>40664</v>
      </c>
      <c r="B8" s="21" t="s">
        <v>110</v>
      </c>
      <c r="C8" s="21" t="s">
        <v>39</v>
      </c>
      <c r="D8" s="21" t="s">
        <v>81</v>
      </c>
      <c r="E8" s="21" t="s">
        <v>108</v>
      </c>
      <c r="F8" s="22" t="n">
        <v>1873695</v>
      </c>
      <c r="G8" s="22" t="n">
        <v>1221687</v>
      </c>
      <c r="H8" s="22" t="n">
        <v>594941</v>
      </c>
      <c r="I8" s="22" t="n">
        <v>427277</v>
      </c>
      <c r="J8" s="22" t="n">
        <v>299961</v>
      </c>
      <c r="K8" s="22" t="n">
        <v>1818890</v>
      </c>
      <c r="L8" s="22" t="n">
        <v>54805</v>
      </c>
      <c r="M8" s="22" t="n">
        <v>1168080</v>
      </c>
      <c r="N8" s="22" t="n">
        <v>53607</v>
      </c>
      <c r="O8" s="22" t="n">
        <v>3</v>
      </c>
      <c r="P8" s="23" t="n">
        <v>0</v>
      </c>
      <c r="Q8" s="23" t="n">
        <v>1</v>
      </c>
      <c r="R8" s="24" t="n">
        <f aca="false">K8/(K8+L8)</f>
        <v>0.970750308881648</v>
      </c>
      <c r="S8" s="24" t="n">
        <f aca="false">M8/(M8+N8)</f>
        <v>0.956120512046048</v>
      </c>
      <c r="T8" s="24" t="n">
        <f aca="false">J8/G8</f>
        <v>0.245530156251151</v>
      </c>
      <c r="U8" s="21" t="n">
        <f aca="false">IF(AND(A8&gt;=Seasonality!$C$4,A8&lt;=Seasonality!$C$5),1,0)</f>
        <v>0</v>
      </c>
    </row>
    <row r="9" customFormat="false" ht="15" hidden="false" customHeight="false" outlineLevel="0" collapsed="false">
      <c r="A9" s="20" t="n">
        <v>40695</v>
      </c>
      <c r="B9" s="21" t="s">
        <v>111</v>
      </c>
      <c r="C9" s="21" t="s">
        <v>39</v>
      </c>
      <c r="D9" s="21" t="s">
        <v>82</v>
      </c>
      <c r="E9" s="21" t="s">
        <v>112</v>
      </c>
      <c r="F9" s="22" t="n">
        <v>1785417</v>
      </c>
      <c r="G9" s="22" t="n">
        <v>1168468</v>
      </c>
      <c r="H9" s="22" t="n">
        <v>562210</v>
      </c>
      <c r="I9" s="22" t="n">
        <v>413321</v>
      </c>
      <c r="J9" s="22" t="n">
        <v>290244</v>
      </c>
      <c r="K9" s="22" t="n">
        <v>1733716</v>
      </c>
      <c r="L9" s="22" t="n">
        <v>51702</v>
      </c>
      <c r="M9" s="22" t="n">
        <v>1117615</v>
      </c>
      <c r="N9" s="22" t="n">
        <v>50853</v>
      </c>
      <c r="O9" s="22" t="n">
        <v>10</v>
      </c>
      <c r="P9" s="23" t="n">
        <v>0</v>
      </c>
      <c r="Q9" s="23" t="n">
        <v>1</v>
      </c>
      <c r="R9" s="24" t="n">
        <f aca="false">K9/(K9+L9)</f>
        <v>0.971042075301134</v>
      </c>
      <c r="S9" s="24" t="n">
        <f aca="false">M9/(M9+N9)</f>
        <v>0.956478910847366</v>
      </c>
      <c r="T9" s="24" t="n">
        <f aca="false">J9/G9</f>
        <v>0.248397046388947</v>
      </c>
      <c r="U9" s="21" t="n">
        <f aca="false">IF(AND(A9&gt;=Seasonality!$C$4,A9&lt;=Seasonality!$C$5),1,0)</f>
        <v>0</v>
      </c>
    </row>
    <row r="10" customFormat="false" ht="15" hidden="false" customHeight="false" outlineLevel="0" collapsed="false">
      <c r="A10" s="20" t="n">
        <v>40725</v>
      </c>
      <c r="B10" s="21" t="s">
        <v>113</v>
      </c>
      <c r="C10" s="21" t="s">
        <v>39</v>
      </c>
      <c r="D10" s="21" t="s">
        <v>83</v>
      </c>
      <c r="E10" s="21" t="s">
        <v>112</v>
      </c>
      <c r="F10" s="22" t="n">
        <v>1864959</v>
      </c>
      <c r="G10" s="22" t="n">
        <v>1211066</v>
      </c>
      <c r="H10" s="22" t="n">
        <v>597690</v>
      </c>
      <c r="I10" s="22" t="n">
        <v>425798</v>
      </c>
      <c r="J10" s="22" t="n">
        <v>299077</v>
      </c>
      <c r="K10" s="22" t="n">
        <v>1820074</v>
      </c>
      <c r="L10" s="22" t="n">
        <v>44885</v>
      </c>
      <c r="M10" s="22" t="n">
        <v>1167234</v>
      </c>
      <c r="N10" s="22" t="n">
        <v>43832</v>
      </c>
      <c r="O10" s="22" t="n">
        <v>6</v>
      </c>
      <c r="P10" s="23" t="n">
        <v>0</v>
      </c>
      <c r="Q10" s="23" t="n">
        <v>1</v>
      </c>
      <c r="R10" s="24" t="n">
        <f aca="false">K10/(K10+L10)</f>
        <v>0.975932446772288</v>
      </c>
      <c r="S10" s="24" t="n">
        <f aca="false">M10/(M10+N10)</f>
        <v>0.963807092264171</v>
      </c>
      <c r="T10" s="24" t="n">
        <f aca="false">J10/G10</f>
        <v>0.24695351037846</v>
      </c>
      <c r="U10" s="21" t="n">
        <f aca="false">IF(AND(A10&gt;=Seasonality!$C$4,A10&lt;=Seasonality!$C$5),1,0)</f>
        <v>0</v>
      </c>
    </row>
    <row r="11" customFormat="false" ht="15" hidden="false" customHeight="false" outlineLevel="0" collapsed="false">
      <c r="A11" s="20" t="n">
        <v>40756</v>
      </c>
      <c r="B11" s="21" t="s">
        <v>114</v>
      </c>
      <c r="C11" s="21" t="s">
        <v>39</v>
      </c>
      <c r="D11" s="21" t="s">
        <v>84</v>
      </c>
      <c r="E11" s="21" t="s">
        <v>112</v>
      </c>
      <c r="F11" s="22" t="n">
        <v>1758108</v>
      </c>
      <c r="G11" s="22" t="n">
        <v>1135801</v>
      </c>
      <c r="H11" s="22" t="n">
        <v>570417</v>
      </c>
      <c r="I11" s="22" t="n">
        <v>410554</v>
      </c>
      <c r="J11" s="22" t="n">
        <v>289884</v>
      </c>
      <c r="K11" s="22" t="n">
        <v>1713032</v>
      </c>
      <c r="L11" s="22" t="n">
        <v>45077</v>
      </c>
      <c r="M11" s="22" t="n">
        <v>1091367</v>
      </c>
      <c r="N11" s="22" t="n">
        <v>44435</v>
      </c>
      <c r="O11" s="22" t="n">
        <v>1</v>
      </c>
      <c r="P11" s="23" t="n">
        <v>0</v>
      </c>
      <c r="Q11" s="23" t="n">
        <v>1</v>
      </c>
      <c r="R11" s="24" t="n">
        <f aca="false">K11/(K11+L11)</f>
        <v>0.974360520309037</v>
      </c>
      <c r="S11" s="24" t="n">
        <f aca="false">M11/(M11+N11)</f>
        <v>0.96087786427564</v>
      </c>
      <c r="T11" s="24" t="n">
        <f aca="false">J11/G11</f>
        <v>0.255224286648806</v>
      </c>
      <c r="U11" s="21" t="n">
        <f aca="false">IF(AND(A11&gt;=Seasonality!$C$4,A11&lt;=Seasonality!$C$5),1,0)</f>
        <v>0</v>
      </c>
    </row>
    <row r="12" customFormat="false" ht="15" hidden="false" customHeight="false" outlineLevel="0" collapsed="false">
      <c r="A12" s="20" t="n">
        <v>40787</v>
      </c>
      <c r="B12" s="21" t="s">
        <v>115</v>
      </c>
      <c r="C12" s="21" t="s">
        <v>39</v>
      </c>
      <c r="D12" s="21" t="s">
        <v>85</v>
      </c>
      <c r="E12" s="21" t="s">
        <v>102</v>
      </c>
      <c r="F12" s="22" t="n">
        <v>1781211</v>
      </c>
      <c r="G12" s="22" t="n">
        <v>1162143</v>
      </c>
      <c r="H12" s="22" t="n">
        <v>566738</v>
      </c>
      <c r="I12" s="22" t="n">
        <v>410761</v>
      </c>
      <c r="J12" s="22" t="n">
        <v>291050</v>
      </c>
      <c r="K12" s="22" t="n">
        <v>1725818</v>
      </c>
      <c r="L12" s="22" t="n">
        <v>55392</v>
      </c>
      <c r="M12" s="22" t="n">
        <v>1107671</v>
      </c>
      <c r="N12" s="22" t="n">
        <v>54472</v>
      </c>
      <c r="O12" s="22" t="n">
        <v>9</v>
      </c>
      <c r="P12" s="23" t="n">
        <v>0</v>
      </c>
      <c r="Q12" s="23" t="n">
        <v>1</v>
      </c>
      <c r="R12" s="24" t="n">
        <f aca="false">K12/(K12+L12)</f>
        <v>0.968902038501917</v>
      </c>
      <c r="S12" s="24" t="n">
        <f aca="false">M12/(M12+N12)</f>
        <v>0.953127971342597</v>
      </c>
      <c r="T12" s="24" t="n">
        <f aca="false">J12/G12</f>
        <v>0.250442501482176</v>
      </c>
      <c r="U12" s="21" t="n">
        <f aca="false">IF(AND(A12&gt;=Seasonality!$C$4,A12&lt;=Seasonality!$C$5),1,0)</f>
        <v>0</v>
      </c>
    </row>
    <row r="13" customFormat="false" ht="15" hidden="false" customHeight="false" outlineLevel="0" collapsed="false">
      <c r="A13" s="20" t="n">
        <v>40817</v>
      </c>
      <c r="B13" s="21" t="s">
        <v>116</v>
      </c>
      <c r="C13" s="21" t="s">
        <v>39</v>
      </c>
      <c r="D13" s="21" t="s">
        <v>86</v>
      </c>
      <c r="E13" s="21" t="s">
        <v>102</v>
      </c>
      <c r="F13" s="22" t="n">
        <v>1848912</v>
      </c>
      <c r="G13" s="22" t="n">
        <v>1200708</v>
      </c>
      <c r="H13" s="22" t="n">
        <v>593757</v>
      </c>
      <c r="I13" s="22" t="n">
        <v>435080</v>
      </c>
      <c r="J13" s="22" t="n">
        <v>305952</v>
      </c>
      <c r="K13" s="22" t="n">
        <v>1786460</v>
      </c>
      <c r="L13" s="22" t="n">
        <v>62453</v>
      </c>
      <c r="M13" s="22" t="n">
        <v>1139227</v>
      </c>
      <c r="N13" s="22" t="n">
        <v>61481</v>
      </c>
      <c r="O13" s="22" t="n">
        <v>42</v>
      </c>
      <c r="P13" s="23" t="n">
        <v>0</v>
      </c>
      <c r="Q13" s="23" t="n">
        <v>1</v>
      </c>
      <c r="R13" s="24" t="n">
        <f aca="false">K13/(K13+L13)</f>
        <v>0.966221774631905</v>
      </c>
      <c r="S13" s="24" t="n">
        <f aca="false">M13/(M13+N13)</f>
        <v>0.948796043667569</v>
      </c>
      <c r="T13" s="24" t="n">
        <f aca="false">J13/G13</f>
        <v>0.254809662299243</v>
      </c>
      <c r="U13" s="21" t="n">
        <f aca="false">IF(AND(A13&gt;=Seasonality!$C$4,A13&lt;=Seasonality!$C$5),1,0)</f>
        <v>0</v>
      </c>
    </row>
    <row r="14" customFormat="false" ht="15" hidden="false" customHeight="false" outlineLevel="0" collapsed="false">
      <c r="A14" s="20" t="n">
        <v>40848</v>
      </c>
      <c r="B14" s="21" t="s">
        <v>117</v>
      </c>
      <c r="C14" s="21" t="s">
        <v>39</v>
      </c>
      <c r="D14" s="21" t="s">
        <v>87</v>
      </c>
      <c r="E14" s="21" t="s">
        <v>102</v>
      </c>
      <c r="F14" s="22" t="n">
        <v>1741441</v>
      </c>
      <c r="G14" s="22" t="n">
        <v>1134959</v>
      </c>
      <c r="H14" s="22" t="n">
        <v>554709</v>
      </c>
      <c r="I14" s="22" t="n">
        <v>424887</v>
      </c>
      <c r="J14" s="22" t="n">
        <v>296726</v>
      </c>
      <c r="K14" s="22" t="n">
        <v>1682309</v>
      </c>
      <c r="L14" s="22" t="n">
        <v>59132</v>
      </c>
      <c r="M14" s="22" t="n">
        <v>1076774</v>
      </c>
      <c r="N14" s="22" t="n">
        <v>58186</v>
      </c>
      <c r="O14" s="22" t="n">
        <v>28</v>
      </c>
      <c r="P14" s="23" t="n">
        <v>0</v>
      </c>
      <c r="Q14" s="23" t="n">
        <v>1</v>
      </c>
      <c r="R14" s="24" t="n">
        <f aca="false">K14/(K14+L14)</f>
        <v>0.966044212809966</v>
      </c>
      <c r="S14" s="24" t="n">
        <f aca="false">M14/(M14+N14)</f>
        <v>0.948732994995418</v>
      </c>
      <c r="T14" s="24" t="n">
        <f aca="false">J14/G14</f>
        <v>0.261442043280859</v>
      </c>
      <c r="U14" s="21" t="n">
        <f aca="false">IF(AND(A14&gt;=Seasonality!$C$4,A14&lt;=Seasonality!$C$5),1,0)</f>
        <v>0</v>
      </c>
    </row>
    <row r="15" customFormat="false" ht="15" hidden="false" customHeight="false" outlineLevel="0" collapsed="false">
      <c r="A15" s="20" t="n">
        <v>40878</v>
      </c>
      <c r="B15" s="21" t="s">
        <v>118</v>
      </c>
      <c r="C15" s="21" t="s">
        <v>39</v>
      </c>
      <c r="D15" s="21" t="s">
        <v>88</v>
      </c>
      <c r="E15" s="21" t="s">
        <v>104</v>
      </c>
      <c r="F15" s="22" t="n">
        <v>1732046</v>
      </c>
      <c r="G15" s="22" t="n">
        <v>1141606</v>
      </c>
      <c r="H15" s="22" t="n">
        <v>542479</v>
      </c>
      <c r="I15" s="22" t="n">
        <v>441655</v>
      </c>
      <c r="J15" s="22" t="n">
        <v>313714</v>
      </c>
      <c r="K15" s="22" t="n">
        <v>1659214</v>
      </c>
      <c r="L15" s="22" t="n">
        <v>72832</v>
      </c>
      <c r="M15" s="22" t="n">
        <v>1069766</v>
      </c>
      <c r="N15" s="22" t="n">
        <v>71841</v>
      </c>
      <c r="O15" s="22" t="n">
        <v>4</v>
      </c>
      <c r="P15" s="23" t="n">
        <v>0</v>
      </c>
      <c r="Q15" s="23" t="n">
        <v>1</v>
      </c>
      <c r="R15" s="24" t="n">
        <f aca="false">K15/(K15+L15)</f>
        <v>0.957950308479105</v>
      </c>
      <c r="S15" s="24" t="n">
        <f aca="false">M15/(M15+N15)</f>
        <v>0.937070287761025</v>
      </c>
      <c r="T15" s="24" t="n">
        <f aca="false">J15/G15</f>
        <v>0.274800587943651</v>
      </c>
      <c r="U15" s="21" t="n">
        <f aca="false">IF(AND(A15&gt;=Seasonality!$C$4,A15&lt;=Seasonality!$C$5),1,0)</f>
        <v>0</v>
      </c>
    </row>
    <row r="16" customFormat="false" ht="15" hidden="false" customHeight="false" outlineLevel="0" collapsed="false">
      <c r="A16" s="20" t="n">
        <v>40909</v>
      </c>
      <c r="B16" s="21" t="s">
        <v>119</v>
      </c>
      <c r="C16" s="21" t="s">
        <v>39</v>
      </c>
      <c r="D16" s="21" t="s">
        <v>77</v>
      </c>
      <c r="E16" s="21" t="s">
        <v>104</v>
      </c>
      <c r="F16" s="22" t="n">
        <v>1737518</v>
      </c>
      <c r="G16" s="22" t="n">
        <v>1137916</v>
      </c>
      <c r="H16" s="22" t="n">
        <v>547995</v>
      </c>
      <c r="I16" s="22" t="n">
        <v>436199</v>
      </c>
      <c r="J16" s="22" t="n">
        <v>307651</v>
      </c>
      <c r="K16" s="22" t="n">
        <v>1663771</v>
      </c>
      <c r="L16" s="22" t="n">
        <v>73747</v>
      </c>
      <c r="M16" s="22" t="n">
        <v>1064831</v>
      </c>
      <c r="N16" s="22" t="n">
        <v>73085</v>
      </c>
      <c r="O16" s="22" t="n">
        <v>8</v>
      </c>
      <c r="P16" s="23" t="n">
        <v>0</v>
      </c>
      <c r="Q16" s="23" t="n">
        <v>1</v>
      </c>
      <c r="R16" s="24" t="n">
        <f aca="false">K16/(K16+L16)</f>
        <v>0.957556123159587</v>
      </c>
      <c r="S16" s="24" t="n">
        <f aca="false">M16/(M16+N16)</f>
        <v>0.935772939303077</v>
      </c>
      <c r="T16" s="24" t="n">
        <f aca="false">J16/G16</f>
        <v>0.270363541772855</v>
      </c>
      <c r="U16" s="21" t="n">
        <f aca="false">IF(AND(A16&gt;=Seasonality!$C$4,A16&lt;=Seasonality!$C$5),1,0)</f>
        <v>0</v>
      </c>
    </row>
    <row r="17" customFormat="false" ht="15" hidden="false" customHeight="false" outlineLevel="0" collapsed="false">
      <c r="A17" s="20" t="n">
        <v>40940</v>
      </c>
      <c r="B17" s="21" t="s">
        <v>120</v>
      </c>
      <c r="C17" s="21" t="s">
        <v>39</v>
      </c>
      <c r="D17" s="21" t="s">
        <v>78</v>
      </c>
      <c r="E17" s="21" t="s">
        <v>104</v>
      </c>
      <c r="F17" s="22" t="n">
        <v>1704232</v>
      </c>
      <c r="G17" s="22" t="n">
        <v>1120423</v>
      </c>
      <c r="H17" s="22" t="n">
        <v>532653</v>
      </c>
      <c r="I17" s="22" t="n">
        <v>420553</v>
      </c>
      <c r="J17" s="22" t="n">
        <v>296577</v>
      </c>
      <c r="K17" s="22" t="n">
        <v>1618805</v>
      </c>
      <c r="L17" s="22" t="n">
        <v>85427</v>
      </c>
      <c r="M17" s="22" t="n">
        <v>1036193</v>
      </c>
      <c r="N17" s="22" t="n">
        <v>84230</v>
      </c>
      <c r="O17" s="22" t="n">
        <v>6</v>
      </c>
      <c r="P17" s="23" t="n">
        <v>0</v>
      </c>
      <c r="Q17" s="23" t="n">
        <v>1</v>
      </c>
      <c r="R17" s="24" t="n">
        <f aca="false">K17/(K17+L17)</f>
        <v>0.949873608757493</v>
      </c>
      <c r="S17" s="24" t="n">
        <f aca="false">M17/(M17+N17)</f>
        <v>0.924823035585667</v>
      </c>
      <c r="T17" s="24" t="n">
        <f aca="false">J17/G17</f>
        <v>0.264700920991447</v>
      </c>
      <c r="U17" s="21" t="n">
        <f aca="false">IF(AND(A17&gt;=Seasonality!$C$4,A17&lt;=Seasonality!$C$5),1,0)</f>
        <v>0</v>
      </c>
    </row>
    <row r="18" customFormat="false" ht="15" hidden="false" customHeight="false" outlineLevel="0" collapsed="false">
      <c r="A18" s="20" t="n">
        <v>40969</v>
      </c>
      <c r="B18" s="21" t="s">
        <v>121</v>
      </c>
      <c r="C18" s="21" t="s">
        <v>39</v>
      </c>
      <c r="D18" s="21" t="s">
        <v>79</v>
      </c>
      <c r="E18" s="21" t="s">
        <v>108</v>
      </c>
      <c r="F18" s="22" t="n">
        <v>1933153</v>
      </c>
      <c r="G18" s="22" t="n">
        <v>1263082</v>
      </c>
      <c r="H18" s="22" t="n">
        <v>611496</v>
      </c>
      <c r="I18" s="22" t="n">
        <v>454396</v>
      </c>
      <c r="J18" s="22" t="n">
        <v>319223</v>
      </c>
      <c r="K18" s="22" t="n">
        <v>1866206</v>
      </c>
      <c r="L18" s="22" t="n">
        <v>66947</v>
      </c>
      <c r="M18" s="22" t="n">
        <v>1197372</v>
      </c>
      <c r="N18" s="22" t="n">
        <v>65710</v>
      </c>
      <c r="O18" s="22" t="n">
        <v>1</v>
      </c>
      <c r="P18" s="23" t="n">
        <v>0</v>
      </c>
      <c r="Q18" s="23" t="n">
        <v>1</v>
      </c>
      <c r="R18" s="24" t="n">
        <f aca="false">K18/(K18+L18)</f>
        <v>0.96536901114397</v>
      </c>
      <c r="S18" s="24" t="n">
        <f aca="false">M18/(M18+N18)</f>
        <v>0.947976457585493</v>
      </c>
      <c r="T18" s="24" t="n">
        <f aca="false">J18/G18</f>
        <v>0.252733393398053</v>
      </c>
      <c r="U18" s="21" t="n">
        <f aca="false">IF(AND(A18&gt;=Seasonality!$C$4,A18&lt;=Seasonality!$C$5),1,0)</f>
        <v>0</v>
      </c>
    </row>
    <row r="19" customFormat="false" ht="15" hidden="false" customHeight="false" outlineLevel="0" collapsed="false">
      <c r="A19" s="20" t="n">
        <v>41000</v>
      </c>
      <c r="B19" s="21" t="s">
        <v>122</v>
      </c>
      <c r="C19" s="21" t="s">
        <v>40</v>
      </c>
      <c r="D19" s="21" t="s">
        <v>80</v>
      </c>
      <c r="E19" s="21" t="s">
        <v>108</v>
      </c>
      <c r="F19" s="22" t="n">
        <v>1769523</v>
      </c>
      <c r="G19" s="22" t="n">
        <v>1149634</v>
      </c>
      <c r="H19" s="22" t="n">
        <v>568200</v>
      </c>
      <c r="I19" s="22" t="n">
        <v>424129</v>
      </c>
      <c r="J19" s="22" t="n">
        <v>302599</v>
      </c>
      <c r="K19" s="22" t="n">
        <v>1704962</v>
      </c>
      <c r="L19" s="22" t="n">
        <v>64561</v>
      </c>
      <c r="M19" s="22" t="n">
        <v>1086165</v>
      </c>
      <c r="N19" s="22" t="n">
        <v>63468</v>
      </c>
      <c r="O19" s="22" t="n">
        <v>0</v>
      </c>
      <c r="P19" s="23" t="n">
        <v>0</v>
      </c>
      <c r="Q19" s="23" t="n">
        <v>1</v>
      </c>
      <c r="R19" s="24" t="n">
        <f aca="false">K19/(K19+L19)</f>
        <v>0.963515026365862</v>
      </c>
      <c r="S19" s="24" t="n">
        <f aca="false">M19/(M19+N19)</f>
        <v>0.944792816490132</v>
      </c>
      <c r="T19" s="24" t="n">
        <f aca="false">J19/G19</f>
        <v>0.2632133357225</v>
      </c>
      <c r="U19" s="21" t="n">
        <f aca="false">IF(AND(A19&gt;=Seasonality!$C$4,A19&lt;=Seasonality!$C$5),1,0)</f>
        <v>0</v>
      </c>
    </row>
    <row r="20" customFormat="false" ht="15" hidden="false" customHeight="false" outlineLevel="0" collapsed="false">
      <c r="A20" s="20" t="n">
        <v>41030</v>
      </c>
      <c r="B20" s="21" t="s">
        <v>123</v>
      </c>
      <c r="C20" s="21" t="s">
        <v>40</v>
      </c>
      <c r="D20" s="21" t="s">
        <v>81</v>
      </c>
      <c r="E20" s="21" t="s">
        <v>108</v>
      </c>
      <c r="F20" s="22" t="n">
        <v>1929570</v>
      </c>
      <c r="G20" s="22" t="n">
        <v>1251414</v>
      </c>
      <c r="H20" s="22" t="n">
        <v>621739</v>
      </c>
      <c r="I20" s="22" t="n">
        <v>443877</v>
      </c>
      <c r="J20" s="22" t="n">
        <v>316001</v>
      </c>
      <c r="K20" s="22" t="n">
        <v>1868050</v>
      </c>
      <c r="L20" s="22" t="n">
        <v>61521</v>
      </c>
      <c r="M20" s="22" t="n">
        <v>1191009</v>
      </c>
      <c r="N20" s="22" t="n">
        <v>60405</v>
      </c>
      <c r="O20" s="22" t="n">
        <v>0</v>
      </c>
      <c r="P20" s="23" t="n">
        <v>0</v>
      </c>
      <c r="Q20" s="23" t="n">
        <v>1</v>
      </c>
      <c r="R20" s="24" t="n">
        <f aca="false">K20/(K20+L20)</f>
        <v>0.968116747194065</v>
      </c>
      <c r="S20" s="24" t="n">
        <f aca="false">M20/(M20+N20)</f>
        <v>0.95173060234263</v>
      </c>
      <c r="T20" s="24" t="n">
        <f aca="false">J20/G20</f>
        <v>0.252515154856826</v>
      </c>
      <c r="U20" s="21" t="n">
        <f aca="false">IF(AND(A20&gt;=Seasonality!$C$4,A20&lt;=Seasonality!$C$5),1,0)</f>
        <v>0</v>
      </c>
    </row>
    <row r="21" customFormat="false" ht="15" hidden="false" customHeight="false" outlineLevel="0" collapsed="false">
      <c r="A21" s="20" t="n">
        <v>41061</v>
      </c>
      <c r="B21" s="21" t="s">
        <v>124</v>
      </c>
      <c r="C21" s="21" t="s">
        <v>40</v>
      </c>
      <c r="D21" s="21" t="s">
        <v>82</v>
      </c>
      <c r="E21" s="21" t="s">
        <v>112</v>
      </c>
      <c r="F21" s="22" t="n">
        <v>1887841</v>
      </c>
      <c r="G21" s="22" t="n">
        <v>1222084</v>
      </c>
      <c r="H21" s="22" t="n">
        <v>611800</v>
      </c>
      <c r="I21" s="22" t="n">
        <v>426006</v>
      </c>
      <c r="J21" s="22" t="n">
        <v>306005</v>
      </c>
      <c r="K21" s="22" t="n">
        <v>1826402</v>
      </c>
      <c r="L21" s="22" t="n">
        <v>61439</v>
      </c>
      <c r="M21" s="22" t="n">
        <v>1161693</v>
      </c>
      <c r="N21" s="22" t="n">
        <v>60392</v>
      </c>
      <c r="O21" s="22" t="n">
        <v>2</v>
      </c>
      <c r="P21" s="23" t="n">
        <v>0</v>
      </c>
      <c r="Q21" s="23" t="n">
        <v>1</v>
      </c>
      <c r="R21" s="24" t="n">
        <f aca="false">K21/(K21+L21)</f>
        <v>0.967455416001665</v>
      </c>
      <c r="S21" s="24" t="n">
        <f aca="false">M21/(M21+N21)</f>
        <v>0.950582815434278</v>
      </c>
      <c r="T21" s="24" t="n">
        <f aca="false">J21/G21</f>
        <v>0.250396044789065</v>
      </c>
      <c r="U21" s="21" t="n">
        <f aca="false">IF(AND(A21&gt;=Seasonality!$C$4,A21&lt;=Seasonality!$C$5),1,0)</f>
        <v>0</v>
      </c>
    </row>
    <row r="22" customFormat="false" ht="15" hidden="false" customHeight="false" outlineLevel="0" collapsed="false">
      <c r="A22" s="20" t="n">
        <v>41091</v>
      </c>
      <c r="B22" s="21" t="s">
        <v>125</v>
      </c>
      <c r="C22" s="21" t="s">
        <v>40</v>
      </c>
      <c r="D22" s="21" t="s">
        <v>83</v>
      </c>
      <c r="E22" s="21" t="s">
        <v>112</v>
      </c>
      <c r="F22" s="22" t="n">
        <v>1924523</v>
      </c>
      <c r="G22" s="22" t="n">
        <v>1248953</v>
      </c>
      <c r="H22" s="22" t="n">
        <v>620178</v>
      </c>
      <c r="I22" s="22" t="n">
        <v>444955</v>
      </c>
      <c r="J22" s="22" t="n">
        <v>316143</v>
      </c>
      <c r="K22" s="22" t="n">
        <v>1868090</v>
      </c>
      <c r="L22" s="22" t="n">
        <v>56434</v>
      </c>
      <c r="M22" s="22" t="n">
        <v>1193640</v>
      </c>
      <c r="N22" s="22" t="n">
        <v>55313</v>
      </c>
      <c r="O22" s="22" t="n">
        <v>1</v>
      </c>
      <c r="P22" s="23" t="n">
        <v>0</v>
      </c>
      <c r="Q22" s="23" t="n">
        <v>1</v>
      </c>
      <c r="R22" s="24" t="n">
        <f aca="false">K22/(K22+L22)</f>
        <v>0.970676385433489</v>
      </c>
      <c r="S22" s="24" t="n">
        <f aca="false">M22/(M22+N22)</f>
        <v>0.955712504794016</v>
      </c>
      <c r="T22" s="24" t="n">
        <f aca="false">J22/G22</f>
        <v>0.253126418688293</v>
      </c>
      <c r="U22" s="21" t="n">
        <f aca="false">IF(AND(A22&gt;=Seasonality!$C$4,A22&lt;=Seasonality!$C$5),1,0)</f>
        <v>0</v>
      </c>
    </row>
    <row r="23" customFormat="false" ht="15" hidden="false" customHeight="false" outlineLevel="0" collapsed="false">
      <c r="A23" s="20" t="n">
        <v>41122</v>
      </c>
      <c r="B23" s="21" t="s">
        <v>126</v>
      </c>
      <c r="C23" s="21" t="s">
        <v>40</v>
      </c>
      <c r="D23" s="21" t="s">
        <v>84</v>
      </c>
      <c r="E23" s="21" t="s">
        <v>112</v>
      </c>
      <c r="F23" s="22" t="n">
        <v>1845142</v>
      </c>
      <c r="G23" s="22" t="n">
        <v>1197384</v>
      </c>
      <c r="H23" s="22" t="n">
        <v>594854</v>
      </c>
      <c r="I23" s="22" t="n">
        <v>425173</v>
      </c>
      <c r="J23" s="22" t="n">
        <v>305791</v>
      </c>
      <c r="K23" s="22" t="n">
        <v>1790535</v>
      </c>
      <c r="L23" s="22" t="n">
        <v>54607</v>
      </c>
      <c r="M23" s="22" t="n">
        <v>1143645</v>
      </c>
      <c r="N23" s="22" t="n">
        <v>53739</v>
      </c>
      <c r="O23" s="22" t="n">
        <v>2</v>
      </c>
      <c r="P23" s="23" t="n">
        <v>0</v>
      </c>
      <c r="Q23" s="23" t="n">
        <v>1</v>
      </c>
      <c r="R23" s="24" t="n">
        <f aca="false">K23/(K23+L23)</f>
        <v>0.970404987800397</v>
      </c>
      <c r="S23" s="24" t="n">
        <f aca="false">M23/(M23+N23)</f>
        <v>0.955119660860676</v>
      </c>
      <c r="T23" s="24" t="n">
        <f aca="false">J23/G23</f>
        <v>0.255382567330113</v>
      </c>
      <c r="U23" s="21" t="n">
        <f aca="false">IF(AND(A23&gt;=Seasonality!$C$4,A23&lt;=Seasonality!$C$5),1,0)</f>
        <v>0</v>
      </c>
    </row>
    <row r="24" customFormat="false" ht="15" hidden="false" customHeight="false" outlineLevel="0" collapsed="false">
      <c r="A24" s="20" t="n">
        <v>41153</v>
      </c>
      <c r="B24" s="21" t="s">
        <v>127</v>
      </c>
      <c r="C24" s="21" t="s">
        <v>40</v>
      </c>
      <c r="D24" s="21" t="s">
        <v>85</v>
      </c>
      <c r="E24" s="21" t="s">
        <v>102</v>
      </c>
      <c r="F24" s="22" t="n">
        <v>1788491</v>
      </c>
      <c r="G24" s="22" t="n">
        <v>1178361</v>
      </c>
      <c r="H24" s="22" t="n">
        <v>558604</v>
      </c>
      <c r="I24" s="22" t="n">
        <v>421778</v>
      </c>
      <c r="J24" s="22" t="n">
        <v>303417</v>
      </c>
      <c r="K24" s="22" t="n">
        <v>1729381</v>
      </c>
      <c r="L24" s="22" t="n">
        <v>59110</v>
      </c>
      <c r="M24" s="22" t="n">
        <v>1120087</v>
      </c>
      <c r="N24" s="22" t="n">
        <v>58274</v>
      </c>
      <c r="O24" s="22" t="n">
        <v>2</v>
      </c>
      <c r="P24" s="23" t="n">
        <v>0</v>
      </c>
      <c r="Q24" s="23" t="n">
        <v>1</v>
      </c>
      <c r="R24" s="24" t="n">
        <f aca="false">K24/(K24+L24)</f>
        <v>0.966949791751818</v>
      </c>
      <c r="S24" s="24" t="n">
        <f aca="false">M24/(M24+N24)</f>
        <v>0.95054656425323</v>
      </c>
      <c r="T24" s="24" t="n">
        <f aca="false">J24/G24</f>
        <v>0.257490701066991</v>
      </c>
      <c r="U24" s="21" t="n">
        <f aca="false">IF(AND(A24&gt;=Seasonality!$C$4,A24&lt;=Seasonality!$C$5),1,0)</f>
        <v>0</v>
      </c>
    </row>
    <row r="25" customFormat="false" ht="15" hidden="false" customHeight="false" outlineLevel="0" collapsed="false">
      <c r="A25" s="20" t="n">
        <v>41183</v>
      </c>
      <c r="B25" s="21" t="s">
        <v>128</v>
      </c>
      <c r="C25" s="21" t="s">
        <v>40</v>
      </c>
      <c r="D25" s="21" t="s">
        <v>86</v>
      </c>
      <c r="E25" s="21" t="s">
        <v>102</v>
      </c>
      <c r="F25" s="22" t="n">
        <v>1832304</v>
      </c>
      <c r="G25" s="22" t="n">
        <v>1214433</v>
      </c>
      <c r="H25" s="22" t="n">
        <v>564448</v>
      </c>
      <c r="I25" s="22" t="n">
        <v>446303</v>
      </c>
      <c r="J25" s="22" t="n">
        <v>317919</v>
      </c>
      <c r="K25" s="22" t="n">
        <v>1763436</v>
      </c>
      <c r="L25" s="22" t="n">
        <v>68868</v>
      </c>
      <c r="M25" s="22" t="n">
        <v>1146459</v>
      </c>
      <c r="N25" s="22" t="n">
        <v>67975</v>
      </c>
      <c r="O25" s="22" t="n">
        <v>0</v>
      </c>
      <c r="P25" s="23" t="n">
        <v>0</v>
      </c>
      <c r="Q25" s="23" t="n">
        <v>1</v>
      </c>
      <c r="R25" s="24" t="n">
        <f aca="false">K25/(K25+L25)</f>
        <v>0.962414533832814</v>
      </c>
      <c r="S25" s="24" t="n">
        <f aca="false">M25/(M25+N25)</f>
        <v>0.944027423474639</v>
      </c>
      <c r="T25" s="24" t="n">
        <f aca="false">J25/G25</f>
        <v>0.261783894212361</v>
      </c>
      <c r="U25" s="21" t="n">
        <f aca="false">IF(AND(A25&gt;=Seasonality!$C$4,A25&lt;=Seasonality!$C$5),1,0)</f>
        <v>0</v>
      </c>
    </row>
    <row r="26" customFormat="false" ht="15" hidden="false" customHeight="false" outlineLevel="0" collapsed="false">
      <c r="A26" s="20" t="n">
        <v>41214</v>
      </c>
      <c r="B26" s="21" t="s">
        <v>129</v>
      </c>
      <c r="C26" s="21" t="s">
        <v>40</v>
      </c>
      <c r="D26" s="21" t="s">
        <v>87</v>
      </c>
      <c r="E26" s="21" t="s">
        <v>102</v>
      </c>
      <c r="F26" s="22" t="n">
        <v>1755605</v>
      </c>
      <c r="G26" s="22" t="n">
        <v>1167908</v>
      </c>
      <c r="H26" s="22" t="n">
        <v>535892</v>
      </c>
      <c r="I26" s="22" t="n">
        <v>435310</v>
      </c>
      <c r="J26" s="22" t="n">
        <v>309441</v>
      </c>
      <c r="K26" s="22" t="n">
        <v>1685591</v>
      </c>
      <c r="L26" s="22" t="n">
        <v>70014</v>
      </c>
      <c r="M26" s="22" t="n">
        <v>1098824</v>
      </c>
      <c r="N26" s="22" t="n">
        <v>69084</v>
      </c>
      <c r="O26" s="22" t="n">
        <v>1</v>
      </c>
      <c r="P26" s="23" t="n">
        <v>0</v>
      </c>
      <c r="Q26" s="23" t="n">
        <v>1</v>
      </c>
      <c r="R26" s="24" t="n">
        <f aca="false">K26/(K26+L26)</f>
        <v>0.96011973080505</v>
      </c>
      <c r="S26" s="24" t="n">
        <f aca="false">M26/(M26+N26)</f>
        <v>0.940848080499491</v>
      </c>
      <c r="T26" s="24" t="n">
        <f aca="false">J26/G26</f>
        <v>0.264953232617638</v>
      </c>
      <c r="U26" s="21" t="n">
        <f aca="false">IF(AND(A26&gt;=Seasonality!$C$4,A26&lt;=Seasonality!$C$5),1,0)</f>
        <v>0</v>
      </c>
    </row>
    <row r="27" customFormat="false" ht="15" hidden="false" customHeight="false" outlineLevel="0" collapsed="false">
      <c r="A27" s="20" t="n">
        <v>41244</v>
      </c>
      <c r="B27" s="21" t="s">
        <v>130</v>
      </c>
      <c r="C27" s="21" t="s">
        <v>40</v>
      </c>
      <c r="D27" s="21" t="s">
        <v>88</v>
      </c>
      <c r="E27" s="21" t="s">
        <v>104</v>
      </c>
      <c r="F27" s="22" t="n">
        <v>1822426</v>
      </c>
      <c r="G27" s="22" t="n">
        <v>1202080</v>
      </c>
      <c r="H27" s="22" t="n">
        <v>572792</v>
      </c>
      <c r="I27" s="22" t="n">
        <v>451181</v>
      </c>
      <c r="J27" s="22" t="n">
        <v>326829</v>
      </c>
      <c r="K27" s="22" t="n">
        <v>1725239</v>
      </c>
      <c r="L27" s="22" t="n">
        <v>97187</v>
      </c>
      <c r="M27" s="22" t="n">
        <v>1106158</v>
      </c>
      <c r="N27" s="22" t="n">
        <v>95922</v>
      </c>
      <c r="O27" s="22" t="n">
        <v>14</v>
      </c>
      <c r="P27" s="23" t="n">
        <v>0</v>
      </c>
      <c r="Q27" s="23" t="n">
        <v>1</v>
      </c>
      <c r="R27" s="24" t="n">
        <f aca="false">K27/(K27+L27)</f>
        <v>0.946671634403811</v>
      </c>
      <c r="S27" s="24" t="n">
        <f aca="false">M27/(M27+N27)</f>
        <v>0.920203314255291</v>
      </c>
      <c r="T27" s="24" t="n">
        <f aca="false">J27/G27</f>
        <v>0.271886230533742</v>
      </c>
      <c r="U27" s="21" t="n">
        <f aca="false">IF(AND(A27&gt;=Seasonality!$C$4,A27&lt;=Seasonality!$C$5),1,0)</f>
        <v>0</v>
      </c>
    </row>
    <row r="28" customFormat="false" ht="15" hidden="false" customHeight="false" outlineLevel="0" collapsed="false">
      <c r="A28" s="20" t="n">
        <v>41275</v>
      </c>
      <c r="B28" s="21" t="s">
        <v>131</v>
      </c>
      <c r="C28" s="21" t="s">
        <v>40</v>
      </c>
      <c r="D28" s="21" t="s">
        <v>77</v>
      </c>
      <c r="E28" s="21" t="s">
        <v>104</v>
      </c>
      <c r="F28" s="22" t="n">
        <v>1733118</v>
      </c>
      <c r="G28" s="22" t="n">
        <v>1149837</v>
      </c>
      <c r="H28" s="22" t="n">
        <v>533763</v>
      </c>
      <c r="I28" s="22" t="n">
        <v>437210</v>
      </c>
      <c r="J28" s="22" t="n">
        <v>316171</v>
      </c>
      <c r="K28" s="22" t="n">
        <v>1638557</v>
      </c>
      <c r="L28" s="22" t="n">
        <v>94561</v>
      </c>
      <c r="M28" s="22" t="n">
        <v>1056300</v>
      </c>
      <c r="N28" s="22" t="n">
        <v>93537</v>
      </c>
      <c r="O28" s="22" t="n">
        <v>50</v>
      </c>
      <c r="P28" s="23" t="n">
        <v>0</v>
      </c>
      <c r="Q28" s="23" t="n">
        <v>1</v>
      </c>
      <c r="R28" s="24" t="n">
        <f aca="false">K28/(K28+L28)</f>
        <v>0.945438798743075</v>
      </c>
      <c r="S28" s="24" t="n">
        <f aca="false">M28/(M28+N28)</f>
        <v>0.918651948058725</v>
      </c>
      <c r="T28" s="24" t="n">
        <f aca="false">J28/G28</f>
        <v>0.274970278395981</v>
      </c>
      <c r="U28" s="21" t="n">
        <f aca="false">IF(AND(A28&gt;=Seasonality!$C$4,A28&lt;=Seasonality!$C$5),1,0)</f>
        <v>0</v>
      </c>
    </row>
    <row r="29" customFormat="false" ht="15" hidden="false" customHeight="false" outlineLevel="0" collapsed="false">
      <c r="A29" s="20" t="n">
        <v>41306</v>
      </c>
      <c r="B29" s="21" t="s">
        <v>132</v>
      </c>
      <c r="C29" s="21" t="s">
        <v>40</v>
      </c>
      <c r="D29" s="21" t="s">
        <v>78</v>
      </c>
      <c r="E29" s="21" t="s">
        <v>104</v>
      </c>
      <c r="F29" s="22" t="n">
        <v>1648748</v>
      </c>
      <c r="G29" s="22" t="n">
        <v>1085333</v>
      </c>
      <c r="H29" s="22" t="n">
        <v>514445</v>
      </c>
      <c r="I29" s="22" t="n">
        <v>404951</v>
      </c>
      <c r="J29" s="22" t="n">
        <v>290544</v>
      </c>
      <c r="K29" s="22" t="n">
        <v>1554636</v>
      </c>
      <c r="L29" s="22" t="n">
        <v>94112</v>
      </c>
      <c r="M29" s="22" t="n">
        <v>992426</v>
      </c>
      <c r="N29" s="22" t="n">
        <v>92907</v>
      </c>
      <c r="O29" s="22" t="n">
        <v>17</v>
      </c>
      <c r="P29" s="23" t="n">
        <v>0</v>
      </c>
      <c r="Q29" s="23" t="n">
        <v>1</v>
      </c>
      <c r="R29" s="24" t="n">
        <f aca="false">K29/(K29+L29)</f>
        <v>0.942919111956466</v>
      </c>
      <c r="S29" s="24" t="n">
        <f aca="false">M29/(M29+N29)</f>
        <v>0.914397700982095</v>
      </c>
      <c r="T29" s="24" t="n">
        <f aca="false">J29/G29</f>
        <v>0.267700327917791</v>
      </c>
      <c r="U29" s="21" t="n">
        <f aca="false">IF(AND(A29&gt;=Seasonality!$C$4,A29&lt;=Seasonality!$C$5),1,0)</f>
        <v>0</v>
      </c>
    </row>
    <row r="30" customFormat="false" ht="15" hidden="false" customHeight="false" outlineLevel="0" collapsed="false">
      <c r="A30" s="20" t="n">
        <v>41334</v>
      </c>
      <c r="B30" s="21" t="s">
        <v>133</v>
      </c>
      <c r="C30" s="21" t="s">
        <v>40</v>
      </c>
      <c r="D30" s="21" t="s">
        <v>79</v>
      </c>
      <c r="E30" s="21" t="s">
        <v>108</v>
      </c>
      <c r="F30" s="22" t="n">
        <v>1865084</v>
      </c>
      <c r="G30" s="22" t="n">
        <v>1226196</v>
      </c>
      <c r="H30" s="22" t="n">
        <v>584669</v>
      </c>
      <c r="I30" s="22" t="n">
        <v>453638</v>
      </c>
      <c r="J30" s="22" t="n">
        <v>326673</v>
      </c>
      <c r="K30" s="22" t="n">
        <v>1744089</v>
      </c>
      <c r="L30" s="22" t="n">
        <v>120995</v>
      </c>
      <c r="M30" s="22" t="n">
        <v>1106666</v>
      </c>
      <c r="N30" s="22" t="n">
        <v>119531</v>
      </c>
      <c r="O30" s="22" t="n">
        <v>81</v>
      </c>
      <c r="P30" s="23" t="n">
        <v>0</v>
      </c>
      <c r="Q30" s="23" t="n">
        <v>1</v>
      </c>
      <c r="R30" s="24" t="n">
        <f aca="false">K30/(K30+L30)</f>
        <v>0.935126246324562</v>
      </c>
      <c r="S30" s="24" t="n">
        <f aca="false">M30/(M30+N30)</f>
        <v>0.902518926404159</v>
      </c>
      <c r="T30" s="24" t="n">
        <f aca="false">J30/G30</f>
        <v>0.266411731892781</v>
      </c>
      <c r="U30" s="21" t="n">
        <f aca="false">IF(AND(A30&gt;=Seasonality!$C$4,A30&lt;=Seasonality!$C$5),1,0)</f>
        <v>0</v>
      </c>
    </row>
    <row r="31" customFormat="false" ht="15" hidden="false" customHeight="false" outlineLevel="0" collapsed="false">
      <c r="A31" s="20" t="n">
        <v>41365</v>
      </c>
      <c r="B31" s="21" t="s">
        <v>134</v>
      </c>
      <c r="C31" s="21" t="s">
        <v>41</v>
      </c>
      <c r="D31" s="21" t="s">
        <v>80</v>
      </c>
      <c r="E31" s="21" t="s">
        <v>108</v>
      </c>
      <c r="F31" s="22" t="n">
        <v>1831420</v>
      </c>
      <c r="G31" s="22" t="n">
        <v>1199089</v>
      </c>
      <c r="H31" s="22" t="n">
        <v>578025</v>
      </c>
      <c r="I31" s="22" t="n">
        <v>429245</v>
      </c>
      <c r="J31" s="22" t="n">
        <v>309033</v>
      </c>
      <c r="K31" s="22" t="n">
        <v>1711299</v>
      </c>
      <c r="L31" s="22" t="n">
        <v>120122</v>
      </c>
      <c r="M31" s="22" t="n">
        <v>1080364</v>
      </c>
      <c r="N31" s="22" t="n">
        <v>118725</v>
      </c>
      <c r="O31" s="22" t="n">
        <v>43</v>
      </c>
      <c r="P31" s="23" t="n">
        <v>0</v>
      </c>
      <c r="Q31" s="23" t="n">
        <v>1</v>
      </c>
      <c r="R31" s="24" t="n">
        <f aca="false">K31/(K31+L31)</f>
        <v>0.93441049327271</v>
      </c>
      <c r="S31" s="24" t="n">
        <f aca="false">M31/(M31+N31)</f>
        <v>0.900987332883547</v>
      </c>
      <c r="T31" s="24" t="n">
        <f aca="false">J31/G31</f>
        <v>0.257723154828374</v>
      </c>
      <c r="U31" s="21" t="n">
        <f aca="false">IF(AND(A31&gt;=Seasonality!$C$4,A31&lt;=Seasonality!$C$5),1,0)</f>
        <v>0</v>
      </c>
    </row>
    <row r="32" customFormat="false" ht="15" hidden="false" customHeight="false" outlineLevel="0" collapsed="false">
      <c r="A32" s="20" t="n">
        <v>41395</v>
      </c>
      <c r="B32" s="21" t="s">
        <v>135</v>
      </c>
      <c r="C32" s="21" t="s">
        <v>41</v>
      </c>
      <c r="D32" s="21" t="s">
        <v>81</v>
      </c>
      <c r="E32" s="21" t="s">
        <v>108</v>
      </c>
      <c r="F32" s="22" t="n">
        <v>1891670</v>
      </c>
      <c r="G32" s="22" t="n">
        <v>1229747</v>
      </c>
      <c r="H32" s="22" t="n">
        <v>607194</v>
      </c>
      <c r="I32" s="22" t="n">
        <v>437698</v>
      </c>
      <c r="J32" s="22" t="n">
        <v>316072</v>
      </c>
      <c r="K32" s="22" t="n">
        <v>1826847</v>
      </c>
      <c r="L32" s="22" t="n">
        <v>64823</v>
      </c>
      <c r="M32" s="22" t="n">
        <v>1166193</v>
      </c>
      <c r="N32" s="22" t="n">
        <v>63555</v>
      </c>
      <c r="O32" s="22" t="n">
        <v>0</v>
      </c>
      <c r="P32" s="23" t="n">
        <v>0</v>
      </c>
      <c r="Q32" s="23" t="n">
        <v>1</v>
      </c>
      <c r="R32" s="24" t="n">
        <f aca="false">K32/(K32+L32)</f>
        <v>0.965732395185207</v>
      </c>
      <c r="S32" s="24" t="n">
        <f aca="false">M32/(M32+N32)</f>
        <v>0.948318679924668</v>
      </c>
      <c r="T32" s="24" t="n">
        <f aca="false">J32/G32</f>
        <v>0.257021972812294</v>
      </c>
      <c r="U32" s="21" t="n">
        <f aca="false">IF(AND(A32&gt;=Seasonality!$C$4,A32&lt;=Seasonality!$C$5),1,0)</f>
        <v>0</v>
      </c>
    </row>
    <row r="33" customFormat="false" ht="15" hidden="false" customHeight="false" outlineLevel="0" collapsed="false">
      <c r="A33" s="20" t="n">
        <v>41426</v>
      </c>
      <c r="B33" s="21" t="s">
        <v>136</v>
      </c>
      <c r="C33" s="21" t="s">
        <v>41</v>
      </c>
      <c r="D33" s="21" t="s">
        <v>82</v>
      </c>
      <c r="E33" s="21" t="s">
        <v>112</v>
      </c>
      <c r="F33" s="22" t="n">
        <v>1831036</v>
      </c>
      <c r="G33" s="22" t="n">
        <v>1191352</v>
      </c>
      <c r="H33" s="22" t="n">
        <v>585094</v>
      </c>
      <c r="I33" s="22" t="n">
        <v>423199</v>
      </c>
      <c r="J33" s="22" t="n">
        <v>304051</v>
      </c>
      <c r="K33" s="22" t="n">
        <v>1774696</v>
      </c>
      <c r="L33" s="22" t="n">
        <v>56340</v>
      </c>
      <c r="M33" s="22" t="n">
        <v>1136079</v>
      </c>
      <c r="N33" s="22" t="n">
        <v>55273</v>
      </c>
      <c r="O33" s="22" t="n">
        <v>7</v>
      </c>
      <c r="P33" s="23" t="n">
        <v>0</v>
      </c>
      <c r="Q33" s="23" t="n">
        <v>1</v>
      </c>
      <c r="R33" s="24" t="n">
        <f aca="false">K33/(K33+L33)</f>
        <v>0.969230533970932</v>
      </c>
      <c r="S33" s="24" t="n">
        <f aca="false">M33/(M33+N33)</f>
        <v>0.953604812011899</v>
      </c>
      <c r="T33" s="24" t="n">
        <f aca="false">J33/G33</f>
        <v>0.255215083367468</v>
      </c>
      <c r="U33" s="21" t="n">
        <f aca="false">IF(AND(A33&gt;=Seasonality!$C$4,A33&lt;=Seasonality!$C$5),1,0)</f>
        <v>0</v>
      </c>
    </row>
    <row r="34" customFormat="false" ht="15" hidden="false" customHeight="false" outlineLevel="0" collapsed="false">
      <c r="A34" s="20" t="n">
        <v>41456</v>
      </c>
      <c r="B34" s="21" t="s">
        <v>137</v>
      </c>
      <c r="C34" s="21" t="s">
        <v>41</v>
      </c>
      <c r="D34" s="21" t="s">
        <v>83</v>
      </c>
      <c r="E34" s="21" t="s">
        <v>112</v>
      </c>
      <c r="F34" s="22" t="n">
        <v>1976289</v>
      </c>
      <c r="G34" s="22" t="n">
        <v>1281700</v>
      </c>
      <c r="H34" s="22" t="n">
        <v>639053</v>
      </c>
      <c r="I34" s="22" t="n">
        <v>443851</v>
      </c>
      <c r="J34" s="22" t="n">
        <v>318790</v>
      </c>
      <c r="K34" s="22" t="n">
        <v>1910700</v>
      </c>
      <c r="L34" s="22" t="n">
        <v>65589</v>
      </c>
      <c r="M34" s="22" t="n">
        <v>1217422</v>
      </c>
      <c r="N34" s="22" t="n">
        <v>64277</v>
      </c>
      <c r="O34" s="22" t="n">
        <v>3</v>
      </c>
      <c r="P34" s="23" t="n">
        <v>0</v>
      </c>
      <c r="Q34" s="23" t="n">
        <v>1</v>
      </c>
      <c r="R34" s="24" t="n">
        <f aca="false">K34/(K34+L34)</f>
        <v>0.966812040141902</v>
      </c>
      <c r="S34" s="24" t="n">
        <f aca="false">M34/(M34+N34)</f>
        <v>0.949850159826917</v>
      </c>
      <c r="T34" s="24" t="n">
        <f aca="false">J34/G34</f>
        <v>0.248724350472029</v>
      </c>
      <c r="U34" s="21" t="n">
        <f aca="false">IF(AND(A34&gt;=Seasonality!$C$4,A34&lt;=Seasonality!$C$5),1,0)</f>
        <v>0</v>
      </c>
    </row>
    <row r="35" customFormat="false" ht="15" hidden="false" customHeight="false" outlineLevel="0" collapsed="false">
      <c r="A35" s="20" t="n">
        <v>41487</v>
      </c>
      <c r="B35" s="21" t="s">
        <v>138</v>
      </c>
      <c r="C35" s="21" t="s">
        <v>41</v>
      </c>
      <c r="D35" s="21" t="s">
        <v>84</v>
      </c>
      <c r="E35" s="21" t="s">
        <v>112</v>
      </c>
      <c r="F35" s="22" t="n">
        <v>1840591</v>
      </c>
      <c r="G35" s="22" t="n">
        <v>1189671</v>
      </c>
      <c r="H35" s="22" t="n">
        <v>597681</v>
      </c>
      <c r="I35" s="22" t="n">
        <v>426909</v>
      </c>
      <c r="J35" s="22" t="n">
        <v>309887</v>
      </c>
      <c r="K35" s="22" t="n">
        <v>1772195</v>
      </c>
      <c r="L35" s="22" t="n">
        <v>68396</v>
      </c>
      <c r="M35" s="22" t="n">
        <v>1122312</v>
      </c>
      <c r="N35" s="22" t="n">
        <v>67359</v>
      </c>
      <c r="O35" s="22" t="n">
        <v>2</v>
      </c>
      <c r="P35" s="23" t="n">
        <v>0</v>
      </c>
      <c r="Q35" s="23" t="n">
        <v>1</v>
      </c>
      <c r="R35" s="24" t="n">
        <f aca="false">K35/(K35+L35)</f>
        <v>0.962840196436905</v>
      </c>
      <c r="S35" s="24" t="n">
        <f aca="false">M35/(M35+N35)</f>
        <v>0.943380144594598</v>
      </c>
      <c r="T35" s="24" t="n">
        <f aca="false">J35/G35</f>
        <v>0.260481259104408</v>
      </c>
      <c r="U35" s="21" t="n">
        <f aca="false">IF(AND(A35&gt;=Seasonality!$C$4,A35&lt;=Seasonality!$C$5),1,0)</f>
        <v>0</v>
      </c>
    </row>
    <row r="36" customFormat="false" ht="15" hidden="false" customHeight="false" outlineLevel="0" collapsed="false">
      <c r="A36" s="20" t="n">
        <v>41518</v>
      </c>
      <c r="B36" s="21" t="s">
        <v>139</v>
      </c>
      <c r="C36" s="21" t="s">
        <v>41</v>
      </c>
      <c r="D36" s="21" t="s">
        <v>85</v>
      </c>
      <c r="E36" s="21" t="s">
        <v>102</v>
      </c>
      <c r="F36" s="22" t="n">
        <v>1768749</v>
      </c>
      <c r="G36" s="22" t="n">
        <v>1156569</v>
      </c>
      <c r="H36" s="22" t="n">
        <v>559868</v>
      </c>
      <c r="I36" s="22" t="n">
        <v>427779</v>
      </c>
      <c r="J36" s="22" t="n">
        <v>307638</v>
      </c>
      <c r="K36" s="22" t="n">
        <v>1694205</v>
      </c>
      <c r="L36" s="22" t="n">
        <v>74544</v>
      </c>
      <c r="M36" s="22" t="n">
        <v>1082967</v>
      </c>
      <c r="N36" s="22" t="n">
        <v>73602</v>
      </c>
      <c r="O36" s="22" t="n">
        <v>9</v>
      </c>
      <c r="P36" s="23" t="n">
        <v>0</v>
      </c>
      <c r="Q36" s="23" t="n">
        <v>1</v>
      </c>
      <c r="R36" s="24" t="n">
        <f aca="false">K36/(K36+L36)</f>
        <v>0.95785495850457</v>
      </c>
      <c r="S36" s="24" t="n">
        <f aca="false">M36/(M36+N36)</f>
        <v>0.936361773486926</v>
      </c>
      <c r="T36" s="24" t="n">
        <f aca="false">J36/G36</f>
        <v>0.265991912285389</v>
      </c>
      <c r="U36" s="21" t="n">
        <f aca="false">IF(AND(A36&gt;=Seasonality!$C$4,A36&lt;=Seasonality!$C$5),1,0)</f>
        <v>0</v>
      </c>
    </row>
    <row r="37" customFormat="false" ht="15" hidden="false" customHeight="false" outlineLevel="0" collapsed="false">
      <c r="A37" s="20" t="n">
        <v>41548</v>
      </c>
      <c r="B37" s="21" t="s">
        <v>140</v>
      </c>
      <c r="C37" s="21" t="s">
        <v>41</v>
      </c>
      <c r="D37" s="21" t="s">
        <v>86</v>
      </c>
      <c r="E37" s="21" t="s">
        <v>102</v>
      </c>
      <c r="F37" s="22" t="n">
        <v>1829429</v>
      </c>
      <c r="G37" s="22" t="n">
        <v>1199259</v>
      </c>
      <c r="H37" s="22" t="n">
        <v>577465</v>
      </c>
      <c r="I37" s="22" t="n">
        <v>449631</v>
      </c>
      <c r="J37" s="22" t="n">
        <v>322015</v>
      </c>
      <c r="K37" s="22" t="n">
        <v>1750179</v>
      </c>
      <c r="L37" s="22" t="n">
        <v>79250</v>
      </c>
      <c r="M37" s="22" t="n">
        <v>1121110</v>
      </c>
      <c r="N37" s="22" t="n">
        <v>78148</v>
      </c>
      <c r="O37" s="22" t="n">
        <v>21</v>
      </c>
      <c r="P37" s="23" t="n">
        <v>0</v>
      </c>
      <c r="Q37" s="23" t="n">
        <v>1</v>
      </c>
      <c r="R37" s="24" t="n">
        <f aca="false">K37/(K37+L37)</f>
        <v>0.956680472431562</v>
      </c>
      <c r="S37" s="24" t="n">
        <f aca="false">M37/(M37+N37)</f>
        <v>0.934836373824482</v>
      </c>
      <c r="T37" s="24" t="n">
        <f aca="false">J37/G37</f>
        <v>0.268511639270583</v>
      </c>
      <c r="U37" s="21" t="n">
        <f aca="false">IF(AND(A37&gt;=Seasonality!$C$4,A37&lt;=Seasonality!$C$5),1,0)</f>
        <v>0</v>
      </c>
    </row>
    <row r="38" customFormat="false" ht="15" hidden="false" customHeight="false" outlineLevel="0" collapsed="false">
      <c r="A38" s="20" t="n">
        <v>41579</v>
      </c>
      <c r="B38" s="21" t="s">
        <v>141</v>
      </c>
      <c r="C38" s="21" t="s">
        <v>41</v>
      </c>
      <c r="D38" s="21" t="s">
        <v>87</v>
      </c>
      <c r="E38" s="21" t="s">
        <v>102</v>
      </c>
      <c r="F38" s="22" t="n">
        <v>1733037</v>
      </c>
      <c r="G38" s="22" t="n">
        <v>1139112</v>
      </c>
      <c r="H38" s="22" t="n">
        <v>543294</v>
      </c>
      <c r="I38" s="22" t="n">
        <v>441624</v>
      </c>
      <c r="J38" s="22" t="n">
        <v>315374</v>
      </c>
      <c r="K38" s="22" t="n">
        <v>1662255</v>
      </c>
      <c r="L38" s="22" t="n">
        <v>70781</v>
      </c>
      <c r="M38" s="22" t="n">
        <v>1069367</v>
      </c>
      <c r="N38" s="22" t="n">
        <v>69745</v>
      </c>
      <c r="O38" s="22" t="n">
        <v>7</v>
      </c>
      <c r="P38" s="23" t="n">
        <v>0</v>
      </c>
      <c r="Q38" s="23" t="n">
        <v>1</v>
      </c>
      <c r="R38" s="24" t="n">
        <f aca="false">K38/(K38+L38)</f>
        <v>0.959157801684443</v>
      </c>
      <c r="S38" s="24" t="n">
        <f aca="false">M38/(M38+N38)</f>
        <v>0.938772482424906</v>
      </c>
      <c r="T38" s="24" t="n">
        <f aca="false">J38/G38</f>
        <v>0.276859518642592</v>
      </c>
      <c r="U38" s="21" t="n">
        <f aca="false">IF(AND(A38&gt;=Seasonality!$C$4,A38&lt;=Seasonality!$C$5),1,0)</f>
        <v>0</v>
      </c>
    </row>
    <row r="39" customFormat="false" ht="15" hidden="false" customHeight="false" outlineLevel="0" collapsed="false">
      <c r="A39" s="20" t="n">
        <v>41609</v>
      </c>
      <c r="B39" s="21" t="s">
        <v>142</v>
      </c>
      <c r="C39" s="21" t="s">
        <v>41</v>
      </c>
      <c r="D39" s="21" t="s">
        <v>88</v>
      </c>
      <c r="E39" s="21" t="s">
        <v>104</v>
      </c>
      <c r="F39" s="22" t="n">
        <v>1782029</v>
      </c>
      <c r="G39" s="22" t="n">
        <v>1172011</v>
      </c>
      <c r="H39" s="22" t="n">
        <v>562209</v>
      </c>
      <c r="I39" s="22" t="n">
        <v>462418</v>
      </c>
      <c r="J39" s="22" t="n">
        <v>333324</v>
      </c>
      <c r="K39" s="22" t="n">
        <v>1697980</v>
      </c>
      <c r="L39" s="22" t="n">
        <v>84049</v>
      </c>
      <c r="M39" s="22" t="n">
        <v>1088947</v>
      </c>
      <c r="N39" s="22" t="n">
        <v>83064</v>
      </c>
      <c r="O39" s="22" t="n">
        <v>21</v>
      </c>
      <c r="P39" s="23" t="n">
        <v>0</v>
      </c>
      <c r="Q39" s="23" t="n">
        <v>1</v>
      </c>
      <c r="R39" s="24" t="n">
        <f aca="false">K39/(K39+L39)</f>
        <v>0.952835223220273</v>
      </c>
      <c r="S39" s="24" t="n">
        <f aca="false">M39/(M39+N39)</f>
        <v>0.92912694505427</v>
      </c>
      <c r="T39" s="24" t="n">
        <f aca="false">J39/G39</f>
        <v>0.284403474028827</v>
      </c>
      <c r="U39" s="21" t="n">
        <f aca="false">IF(AND(A39&gt;=Seasonality!$C$4,A39&lt;=Seasonality!$C$5),1,0)</f>
        <v>0</v>
      </c>
    </row>
    <row r="40" customFormat="false" ht="15" hidden="false" customHeight="false" outlineLevel="0" collapsed="false">
      <c r="A40" s="20" t="n">
        <v>41640</v>
      </c>
      <c r="B40" s="21" t="s">
        <v>143</v>
      </c>
      <c r="C40" s="21" t="s">
        <v>41</v>
      </c>
      <c r="D40" s="21" t="s">
        <v>77</v>
      </c>
      <c r="E40" s="21" t="s">
        <v>104</v>
      </c>
      <c r="F40" s="22" t="n">
        <v>1739539</v>
      </c>
      <c r="G40" s="22" t="n">
        <v>1142284</v>
      </c>
      <c r="H40" s="22" t="n">
        <v>546196</v>
      </c>
      <c r="I40" s="22" t="n">
        <v>457388</v>
      </c>
      <c r="J40" s="22" t="n">
        <v>328887</v>
      </c>
      <c r="K40" s="22" t="n">
        <v>1655543</v>
      </c>
      <c r="L40" s="22" t="n">
        <v>83996</v>
      </c>
      <c r="M40" s="22" t="n">
        <v>1059249</v>
      </c>
      <c r="N40" s="22" t="n">
        <v>83034</v>
      </c>
      <c r="O40" s="22" t="n">
        <v>42</v>
      </c>
      <c r="P40" s="23" t="n">
        <v>0</v>
      </c>
      <c r="Q40" s="23" t="n">
        <v>1</v>
      </c>
      <c r="R40" s="24" t="n">
        <f aca="false">K40/(K40+L40)</f>
        <v>0.95171364367226</v>
      </c>
      <c r="S40" s="24" t="n">
        <f aca="false">M40/(M40+N40)</f>
        <v>0.9273087317241</v>
      </c>
      <c r="T40" s="24" t="n">
        <f aca="false">J40/G40</f>
        <v>0.287920517139345</v>
      </c>
      <c r="U40" s="21" t="n">
        <f aca="false">IF(AND(A40&gt;=Seasonality!$C$4,A40&lt;=Seasonality!$C$5),1,0)</f>
        <v>0</v>
      </c>
    </row>
    <row r="41" customFormat="false" ht="15" hidden="false" customHeight="false" outlineLevel="0" collapsed="false">
      <c r="A41" s="20" t="n">
        <v>41671</v>
      </c>
      <c r="B41" s="21" t="s">
        <v>144</v>
      </c>
      <c r="C41" s="21" t="s">
        <v>41</v>
      </c>
      <c r="D41" s="21" t="s">
        <v>78</v>
      </c>
      <c r="E41" s="21" t="s">
        <v>104</v>
      </c>
      <c r="F41" s="22" t="n">
        <v>1661814</v>
      </c>
      <c r="G41" s="22" t="n">
        <v>1084744</v>
      </c>
      <c r="H41" s="22" t="n">
        <v>529366</v>
      </c>
      <c r="I41" s="22" t="n">
        <v>420487</v>
      </c>
      <c r="J41" s="22" t="n">
        <v>302575</v>
      </c>
      <c r="K41" s="22" t="n">
        <v>1572713</v>
      </c>
      <c r="L41" s="22" t="n">
        <v>89101</v>
      </c>
      <c r="M41" s="22" t="n">
        <v>996820</v>
      </c>
      <c r="N41" s="22" t="n">
        <v>87924</v>
      </c>
      <c r="O41" s="22" t="n">
        <v>77</v>
      </c>
      <c r="P41" s="23" t="n">
        <v>0</v>
      </c>
      <c r="Q41" s="23" t="n">
        <v>1</v>
      </c>
      <c r="R41" s="24" t="n">
        <f aca="false">K41/(K41+L41)</f>
        <v>0.946383289585959</v>
      </c>
      <c r="S41" s="24" t="n">
        <f aca="false">M41/(M41+N41)</f>
        <v>0.918944930785513</v>
      </c>
      <c r="T41" s="24" t="n">
        <f aca="false">J41/G41</f>
        <v>0.27893678139727</v>
      </c>
      <c r="U41" s="21" t="n">
        <f aca="false">IF(AND(A41&gt;=Seasonality!$C$4,A41&lt;=Seasonality!$C$5),1,0)</f>
        <v>0</v>
      </c>
    </row>
    <row r="42" customFormat="false" ht="15" hidden="false" customHeight="false" outlineLevel="0" collapsed="false">
      <c r="A42" s="20" t="n">
        <v>41699</v>
      </c>
      <c r="B42" s="21" t="s">
        <v>145</v>
      </c>
      <c r="C42" s="21" t="s">
        <v>41</v>
      </c>
      <c r="D42" s="21" t="s">
        <v>79</v>
      </c>
      <c r="E42" s="21" t="s">
        <v>108</v>
      </c>
      <c r="F42" s="22" t="n">
        <v>1957341</v>
      </c>
      <c r="G42" s="22" t="n">
        <v>1269436</v>
      </c>
      <c r="H42" s="22" t="n">
        <v>632107</v>
      </c>
      <c r="I42" s="22" t="n">
        <v>467851</v>
      </c>
      <c r="J42" s="22" t="n">
        <v>336284</v>
      </c>
      <c r="K42" s="22" t="n">
        <v>1871512</v>
      </c>
      <c r="L42" s="22" t="n">
        <v>85829</v>
      </c>
      <c r="M42" s="22" t="n">
        <v>1185253</v>
      </c>
      <c r="N42" s="22" t="n">
        <v>84183</v>
      </c>
      <c r="O42" s="22" t="n">
        <v>10</v>
      </c>
      <c r="P42" s="23" t="n">
        <v>0</v>
      </c>
      <c r="Q42" s="23" t="n">
        <v>1</v>
      </c>
      <c r="R42" s="24" t="n">
        <f aca="false">K42/(K42+L42)</f>
        <v>0.95615020581493</v>
      </c>
      <c r="S42" s="24" t="n">
        <f aca="false">M42/(M42+N42)</f>
        <v>0.933684722979339</v>
      </c>
      <c r="T42" s="24" t="n">
        <f aca="false">J42/G42</f>
        <v>0.264908195450578</v>
      </c>
      <c r="U42" s="21" t="n">
        <f aca="false">IF(AND(A42&gt;=Seasonality!$C$4,A42&lt;=Seasonality!$C$5),1,0)</f>
        <v>0</v>
      </c>
    </row>
    <row r="43" customFormat="false" ht="15" hidden="false" customHeight="false" outlineLevel="0" collapsed="false">
      <c r="A43" s="20" t="n">
        <v>41730</v>
      </c>
      <c r="B43" s="21" t="s">
        <v>146</v>
      </c>
      <c r="C43" s="21" t="s">
        <v>42</v>
      </c>
      <c r="D43" s="21" t="s">
        <v>80</v>
      </c>
      <c r="E43" s="21" t="s">
        <v>108</v>
      </c>
      <c r="F43" s="22" t="n">
        <v>1877676</v>
      </c>
      <c r="G43" s="22" t="n">
        <v>1213066</v>
      </c>
      <c r="H43" s="22" t="n">
        <v>612576</v>
      </c>
      <c r="I43" s="22" t="n">
        <v>448682</v>
      </c>
      <c r="J43" s="22" t="n">
        <v>326337</v>
      </c>
      <c r="K43" s="22" t="n">
        <v>1788719</v>
      </c>
      <c r="L43" s="22" t="n">
        <v>88957</v>
      </c>
      <c r="M43" s="22" t="n">
        <v>1125630</v>
      </c>
      <c r="N43" s="22" t="n">
        <v>87436</v>
      </c>
      <c r="O43" s="22" t="n">
        <v>23</v>
      </c>
      <c r="P43" s="23" t="n">
        <v>0</v>
      </c>
      <c r="Q43" s="23" t="n">
        <v>1</v>
      </c>
      <c r="R43" s="24" t="n">
        <f aca="false">K43/(K43+L43)</f>
        <v>0.952623881862473</v>
      </c>
      <c r="S43" s="24" t="n">
        <f aca="false">M43/(M43+N43)</f>
        <v>0.927921481601166</v>
      </c>
      <c r="T43" s="24" t="n">
        <f aca="false">J43/G43</f>
        <v>0.269018338655935</v>
      </c>
      <c r="U43" s="21" t="n">
        <f aca="false">IF(AND(A43&gt;=Seasonality!$C$4,A43&lt;=Seasonality!$C$5),1,0)</f>
        <v>0</v>
      </c>
    </row>
    <row r="44" customFormat="false" ht="15" hidden="false" customHeight="false" outlineLevel="0" collapsed="false">
      <c r="A44" s="20" t="n">
        <v>41760</v>
      </c>
      <c r="B44" s="21" t="s">
        <v>147</v>
      </c>
      <c r="C44" s="21" t="s">
        <v>42</v>
      </c>
      <c r="D44" s="21" t="s">
        <v>81</v>
      </c>
      <c r="E44" s="21" t="s">
        <v>108</v>
      </c>
      <c r="F44" s="22" t="n">
        <v>1978028</v>
      </c>
      <c r="G44" s="22" t="n">
        <v>1287333</v>
      </c>
      <c r="H44" s="22" t="n">
        <v>636250</v>
      </c>
      <c r="I44" s="22" t="n">
        <v>466071</v>
      </c>
      <c r="J44" s="22" t="n">
        <v>339253</v>
      </c>
      <c r="K44" s="22" t="n">
        <v>1875839</v>
      </c>
      <c r="L44" s="22" t="n">
        <v>102190</v>
      </c>
      <c r="M44" s="22" t="n">
        <v>1186776</v>
      </c>
      <c r="N44" s="22" t="n">
        <v>100557</v>
      </c>
      <c r="O44" s="22" t="n">
        <v>10</v>
      </c>
      <c r="P44" s="23" t="n">
        <v>0</v>
      </c>
      <c r="Q44" s="23" t="n">
        <v>1</v>
      </c>
      <c r="R44" s="24" t="n">
        <f aca="false">K44/(K44+L44)</f>
        <v>0.948337461179791</v>
      </c>
      <c r="S44" s="24" t="n">
        <f aca="false">M44/(M44+N44)</f>
        <v>0.921887343834113</v>
      </c>
      <c r="T44" s="24" t="n">
        <f aca="false">J44/G44</f>
        <v>0.263531658086913</v>
      </c>
      <c r="U44" s="21" t="n">
        <f aca="false">IF(AND(A44&gt;=Seasonality!$C$4,A44&lt;=Seasonality!$C$5),1,0)</f>
        <v>0</v>
      </c>
    </row>
    <row r="45" customFormat="false" ht="15" hidden="false" customHeight="false" outlineLevel="0" collapsed="false">
      <c r="A45" s="20" t="n">
        <v>41791</v>
      </c>
      <c r="B45" s="21" t="s">
        <v>148</v>
      </c>
      <c r="C45" s="21" t="s">
        <v>42</v>
      </c>
      <c r="D45" s="21" t="s">
        <v>82</v>
      </c>
      <c r="E45" s="21" t="s">
        <v>112</v>
      </c>
      <c r="F45" s="22" t="n">
        <v>1942268</v>
      </c>
      <c r="G45" s="22" t="n">
        <v>1265211</v>
      </c>
      <c r="H45" s="22" t="n">
        <v>622060</v>
      </c>
      <c r="I45" s="22" t="n">
        <v>450817</v>
      </c>
      <c r="J45" s="22" t="n">
        <v>327065</v>
      </c>
      <c r="K45" s="22" t="n">
        <v>1849404</v>
      </c>
      <c r="L45" s="22" t="n">
        <v>92864</v>
      </c>
      <c r="M45" s="22" t="n">
        <v>1174433</v>
      </c>
      <c r="N45" s="22" t="n">
        <v>90778</v>
      </c>
      <c r="O45" s="22" t="n">
        <v>8</v>
      </c>
      <c r="P45" s="23" t="n">
        <v>0</v>
      </c>
      <c r="Q45" s="23" t="n">
        <v>1</v>
      </c>
      <c r="R45" s="24" t="n">
        <f aca="false">K45/(K45+L45)</f>
        <v>0.952187854611207</v>
      </c>
      <c r="S45" s="24" t="n">
        <f aca="false">M45/(M45+N45)</f>
        <v>0.928250702847193</v>
      </c>
      <c r="T45" s="24" t="n">
        <f aca="false">J45/G45</f>
        <v>0.258506288674379</v>
      </c>
      <c r="U45" s="21" t="n">
        <f aca="false">IF(AND(A45&gt;=Seasonality!$C$4,A45&lt;=Seasonality!$C$5),1,0)</f>
        <v>0</v>
      </c>
    </row>
    <row r="46" customFormat="false" ht="15" hidden="false" customHeight="false" outlineLevel="0" collapsed="false">
      <c r="A46" s="20" t="n">
        <v>41821</v>
      </c>
      <c r="B46" s="21" t="s">
        <v>149</v>
      </c>
      <c r="C46" s="21" t="s">
        <v>42</v>
      </c>
      <c r="D46" s="21" t="s">
        <v>83</v>
      </c>
      <c r="E46" s="21" t="s">
        <v>112</v>
      </c>
      <c r="F46" s="22" t="n">
        <v>1993631</v>
      </c>
      <c r="G46" s="22" t="n">
        <v>1302588</v>
      </c>
      <c r="H46" s="22" t="n">
        <v>635250</v>
      </c>
      <c r="I46" s="22" t="n">
        <v>463122</v>
      </c>
      <c r="J46" s="22" t="n">
        <v>334823</v>
      </c>
      <c r="K46" s="22" t="n">
        <v>1897359</v>
      </c>
      <c r="L46" s="22" t="n">
        <v>96272</v>
      </c>
      <c r="M46" s="22" t="n">
        <v>1208070</v>
      </c>
      <c r="N46" s="22" t="n">
        <v>94519</v>
      </c>
      <c r="O46" s="22" t="n">
        <v>5</v>
      </c>
      <c r="P46" s="23" t="n">
        <v>0</v>
      </c>
      <c r="Q46" s="23" t="n">
        <v>1</v>
      </c>
      <c r="R46" s="24" t="n">
        <f aca="false">K46/(K46+L46)</f>
        <v>0.95171022119941</v>
      </c>
      <c r="S46" s="24" t="n">
        <f aca="false">M46/(M46+N46)</f>
        <v>0.927437587757919</v>
      </c>
      <c r="T46" s="24" t="n">
        <f aca="false">J46/G46</f>
        <v>0.257044437688663</v>
      </c>
      <c r="U46" s="21" t="n">
        <f aca="false">IF(AND(A46&gt;=Seasonality!$C$4,A46&lt;=Seasonality!$C$5),1,0)</f>
        <v>0</v>
      </c>
    </row>
    <row r="47" customFormat="false" ht="15" hidden="false" customHeight="false" outlineLevel="0" collapsed="false">
      <c r="A47" s="20" t="n">
        <v>41852</v>
      </c>
      <c r="B47" s="21" t="s">
        <v>150</v>
      </c>
      <c r="C47" s="21" t="s">
        <v>42</v>
      </c>
      <c r="D47" s="21" t="s">
        <v>84</v>
      </c>
      <c r="E47" s="21" t="s">
        <v>112</v>
      </c>
      <c r="F47" s="22" t="n">
        <v>1817310</v>
      </c>
      <c r="G47" s="22" t="n">
        <v>1188147</v>
      </c>
      <c r="H47" s="22" t="n">
        <v>576112</v>
      </c>
      <c r="I47" s="22" t="n">
        <v>441758</v>
      </c>
      <c r="J47" s="22" t="n">
        <v>321638</v>
      </c>
      <c r="K47" s="22" t="n">
        <v>1728430</v>
      </c>
      <c r="L47" s="22" t="n">
        <v>88880</v>
      </c>
      <c r="M47" s="22" t="n">
        <v>1100823</v>
      </c>
      <c r="N47" s="22" t="n">
        <v>87323</v>
      </c>
      <c r="O47" s="22" t="n">
        <v>8</v>
      </c>
      <c r="P47" s="23" t="n">
        <v>0</v>
      </c>
      <c r="Q47" s="23" t="n">
        <v>1</v>
      </c>
      <c r="R47" s="24" t="n">
        <f aca="false">K47/(K47+L47)</f>
        <v>0.951092548877187</v>
      </c>
      <c r="S47" s="24" t="n">
        <f aca="false">M47/(M47+N47)</f>
        <v>0.926504823481289</v>
      </c>
      <c r="T47" s="24" t="n">
        <f aca="false">J47/G47</f>
        <v>0.270705560843902</v>
      </c>
      <c r="U47" s="21" t="n">
        <f aca="false">IF(AND(A47&gt;=Seasonality!$C$4,A47&lt;=Seasonality!$C$5),1,0)</f>
        <v>0</v>
      </c>
    </row>
    <row r="48" customFormat="false" ht="15" hidden="false" customHeight="false" outlineLevel="0" collapsed="false">
      <c r="A48" s="20" t="n">
        <v>41883</v>
      </c>
      <c r="B48" s="21" t="s">
        <v>151</v>
      </c>
      <c r="C48" s="21" t="s">
        <v>42</v>
      </c>
      <c r="D48" s="21" t="s">
        <v>85</v>
      </c>
      <c r="E48" s="21" t="s">
        <v>102</v>
      </c>
      <c r="F48" s="22" t="n">
        <v>1853286</v>
      </c>
      <c r="G48" s="22" t="n">
        <v>1221782</v>
      </c>
      <c r="H48" s="22" t="n">
        <v>579309</v>
      </c>
      <c r="I48" s="22" t="n">
        <v>446126</v>
      </c>
      <c r="J48" s="22" t="n">
        <v>323733</v>
      </c>
      <c r="K48" s="22" t="n">
        <v>1753436</v>
      </c>
      <c r="L48" s="22" t="n">
        <v>99850</v>
      </c>
      <c r="M48" s="22" t="n">
        <v>1123719</v>
      </c>
      <c r="N48" s="22" t="n">
        <v>98063</v>
      </c>
      <c r="O48" s="22" t="n">
        <v>28</v>
      </c>
      <c r="P48" s="23" t="n">
        <v>0</v>
      </c>
      <c r="Q48" s="23" t="n">
        <v>1</v>
      </c>
      <c r="R48" s="24" t="n">
        <f aca="false">K48/(K48+L48)</f>
        <v>0.94612272471707</v>
      </c>
      <c r="S48" s="24" t="n">
        <f aca="false">M48/(M48+N48)</f>
        <v>0.919737727352343</v>
      </c>
      <c r="T48" s="24" t="n">
        <f aca="false">J48/G48</f>
        <v>0.264967891162253</v>
      </c>
      <c r="U48" s="21" t="n">
        <f aca="false">IF(AND(A48&gt;=Seasonality!$C$4,A48&lt;=Seasonality!$C$5),1,0)</f>
        <v>0</v>
      </c>
    </row>
    <row r="49" customFormat="false" ht="15" hidden="false" customHeight="false" outlineLevel="0" collapsed="false">
      <c r="A49" s="20" t="n">
        <v>41913</v>
      </c>
      <c r="B49" s="21" t="s">
        <v>152</v>
      </c>
      <c r="C49" s="21" t="s">
        <v>42</v>
      </c>
      <c r="D49" s="21" t="s">
        <v>86</v>
      </c>
      <c r="E49" s="21" t="s">
        <v>102</v>
      </c>
      <c r="F49" s="22" t="n">
        <v>1892374</v>
      </c>
      <c r="G49" s="22" t="n">
        <v>1250114</v>
      </c>
      <c r="H49" s="22" t="n">
        <v>587832</v>
      </c>
      <c r="I49" s="22" t="n">
        <v>469268</v>
      </c>
      <c r="J49" s="22" t="n">
        <v>339833</v>
      </c>
      <c r="K49" s="22" t="n">
        <v>1773396</v>
      </c>
      <c r="L49" s="22" t="n">
        <v>118978</v>
      </c>
      <c r="M49" s="22" t="n">
        <v>1132970</v>
      </c>
      <c r="N49" s="22" t="n">
        <v>117144</v>
      </c>
      <c r="O49" s="22" t="n">
        <v>55</v>
      </c>
      <c r="P49" s="23" t="n">
        <v>0</v>
      </c>
      <c r="Q49" s="23" t="n">
        <v>1</v>
      </c>
      <c r="R49" s="24" t="n">
        <f aca="false">K49/(K49+L49)</f>
        <v>0.9371276502425</v>
      </c>
      <c r="S49" s="24" t="n">
        <f aca="false">M49/(M49+N49)</f>
        <v>0.906293346046841</v>
      </c>
      <c r="T49" s="24" t="n">
        <f aca="false">J49/G49</f>
        <v>0.271841608045346</v>
      </c>
      <c r="U49" s="21" t="n">
        <f aca="false">IF(AND(A49&gt;=Seasonality!$C$4,A49&lt;=Seasonality!$C$5),1,0)</f>
        <v>0</v>
      </c>
    </row>
    <row r="50" customFormat="false" ht="15" hidden="false" customHeight="false" outlineLevel="0" collapsed="false">
      <c r="A50" s="20" t="n">
        <v>41944</v>
      </c>
      <c r="B50" s="21" t="s">
        <v>153</v>
      </c>
      <c r="C50" s="21" t="s">
        <v>42</v>
      </c>
      <c r="D50" s="21" t="s">
        <v>87</v>
      </c>
      <c r="E50" s="21" t="s">
        <v>102</v>
      </c>
      <c r="F50" s="22" t="n">
        <v>1830460</v>
      </c>
      <c r="G50" s="22" t="n">
        <v>1205519</v>
      </c>
      <c r="H50" s="22" t="n">
        <v>572612</v>
      </c>
      <c r="I50" s="22" t="n">
        <v>464342</v>
      </c>
      <c r="J50" s="22" t="n">
        <v>331924</v>
      </c>
      <c r="K50" s="22" t="n">
        <v>1710729</v>
      </c>
      <c r="L50" s="22" t="n">
        <v>119731</v>
      </c>
      <c r="M50" s="22" t="n">
        <v>1087855</v>
      </c>
      <c r="N50" s="22" t="n">
        <v>117664</v>
      </c>
      <c r="O50" s="22" t="n">
        <v>35</v>
      </c>
      <c r="P50" s="23" t="n">
        <v>0</v>
      </c>
      <c r="Q50" s="23" t="n">
        <v>1</v>
      </c>
      <c r="R50" s="24" t="n">
        <f aca="false">K50/(K50+L50)</f>
        <v>0.934589665985599</v>
      </c>
      <c r="S50" s="24" t="n">
        <f aca="false">M50/(M50+N50)</f>
        <v>0.902395565727293</v>
      </c>
      <c r="T50" s="24" t="n">
        <f aca="false">J50/G50</f>
        <v>0.275337012523237</v>
      </c>
      <c r="U50" s="21" t="n">
        <f aca="false">IF(AND(A50&gt;=Seasonality!$C$4,A50&lt;=Seasonality!$C$5),1,0)</f>
        <v>0</v>
      </c>
    </row>
    <row r="51" customFormat="false" ht="15" hidden="false" customHeight="false" outlineLevel="0" collapsed="false">
      <c r="A51" s="20" t="n">
        <v>41974</v>
      </c>
      <c r="B51" s="21" t="s">
        <v>154</v>
      </c>
      <c r="C51" s="21" t="s">
        <v>42</v>
      </c>
      <c r="D51" s="21" t="s">
        <v>88</v>
      </c>
      <c r="E51" s="21" t="s">
        <v>104</v>
      </c>
      <c r="F51" s="22" t="n">
        <v>1901227</v>
      </c>
      <c r="G51" s="22" t="n">
        <v>1241895</v>
      </c>
      <c r="H51" s="22" t="n">
        <v>611673</v>
      </c>
      <c r="I51" s="22" t="n">
        <v>484361</v>
      </c>
      <c r="J51" s="22" t="n">
        <v>353472</v>
      </c>
      <c r="K51" s="22" t="n">
        <v>1709072</v>
      </c>
      <c r="L51" s="22" t="n">
        <v>192155</v>
      </c>
      <c r="M51" s="22" t="n">
        <v>1052857</v>
      </c>
      <c r="N51" s="22" t="n">
        <v>189038</v>
      </c>
      <c r="O51" s="22" t="n">
        <v>186</v>
      </c>
      <c r="P51" s="23" t="n">
        <v>0</v>
      </c>
      <c r="Q51" s="23" t="n">
        <v>1</v>
      </c>
      <c r="R51" s="24" t="n">
        <f aca="false">K51/(K51+L51)</f>
        <v>0.898931058732072</v>
      </c>
      <c r="S51" s="24" t="n">
        <f aca="false">M51/(M51+N51)</f>
        <v>0.847782622524449</v>
      </c>
      <c r="T51" s="24" t="n">
        <f aca="false">J51/G51</f>
        <v>0.284623096155472</v>
      </c>
      <c r="U51" s="21" t="n">
        <f aca="false">IF(AND(A51&gt;=Seasonality!$C$4,A51&lt;=Seasonality!$C$5),1,0)</f>
        <v>0</v>
      </c>
    </row>
    <row r="52" customFormat="false" ht="15" hidden="false" customHeight="false" outlineLevel="0" collapsed="false">
      <c r="A52" s="20" t="n">
        <v>42005</v>
      </c>
      <c r="B52" s="21" t="s">
        <v>155</v>
      </c>
      <c r="C52" s="21" t="s">
        <v>42</v>
      </c>
      <c r="D52" s="21" t="s">
        <v>77</v>
      </c>
      <c r="E52" s="21" t="s">
        <v>104</v>
      </c>
      <c r="F52" s="22" t="n">
        <v>1732067</v>
      </c>
      <c r="G52" s="22" t="n">
        <v>1124040</v>
      </c>
      <c r="H52" s="22" t="n">
        <v>557126</v>
      </c>
      <c r="I52" s="22" t="n">
        <v>463401</v>
      </c>
      <c r="J52" s="22" t="n">
        <v>333669</v>
      </c>
      <c r="K52" s="22" t="n">
        <v>1578911</v>
      </c>
      <c r="L52" s="22" t="n">
        <v>153156</v>
      </c>
      <c r="M52" s="22" t="n">
        <v>972839</v>
      </c>
      <c r="N52" s="22" t="n">
        <v>151201</v>
      </c>
      <c r="O52" s="22" t="n">
        <v>650</v>
      </c>
      <c r="P52" s="23" t="n">
        <v>0</v>
      </c>
      <c r="Q52" s="23" t="n">
        <v>1</v>
      </c>
      <c r="R52" s="24" t="n">
        <f aca="false">K52/(K52+L52)</f>
        <v>0.911576168820259</v>
      </c>
      <c r="S52" s="24" t="n">
        <f aca="false">M52/(M52+N52)</f>
        <v>0.865484324401267</v>
      </c>
      <c r="T52" s="24" t="n">
        <f aca="false">J52/G52</f>
        <v>0.296847976940322</v>
      </c>
      <c r="U52" s="21" t="n">
        <f aca="false">IF(AND(A52&gt;=Seasonality!$C$4,A52&lt;=Seasonality!$C$5),1,0)</f>
        <v>0</v>
      </c>
    </row>
    <row r="53" customFormat="false" ht="15" hidden="false" customHeight="false" outlineLevel="0" collapsed="false">
      <c r="A53" s="20" t="n">
        <v>42036</v>
      </c>
      <c r="B53" s="21" t="s">
        <v>156</v>
      </c>
      <c r="C53" s="21" t="s">
        <v>42</v>
      </c>
      <c r="D53" s="21" t="s">
        <v>78</v>
      </c>
      <c r="E53" s="21" t="s">
        <v>104</v>
      </c>
      <c r="F53" s="22" t="n">
        <v>1654846</v>
      </c>
      <c r="G53" s="22" t="n">
        <v>1072452</v>
      </c>
      <c r="H53" s="22" t="n">
        <v>534238</v>
      </c>
      <c r="I53" s="22" t="n">
        <v>424635</v>
      </c>
      <c r="J53" s="22" t="n">
        <v>306651</v>
      </c>
      <c r="K53" s="22" t="n">
        <v>1521979</v>
      </c>
      <c r="L53" s="22" t="n">
        <v>132868</v>
      </c>
      <c r="M53" s="22" t="n">
        <v>941203</v>
      </c>
      <c r="N53" s="22" t="n">
        <v>131248</v>
      </c>
      <c r="O53" s="22" t="n">
        <v>184</v>
      </c>
      <c r="P53" s="23" t="n">
        <v>0</v>
      </c>
      <c r="Q53" s="23" t="n">
        <v>1</v>
      </c>
      <c r="R53" s="24" t="n">
        <f aca="false">K53/(K53+L53)</f>
        <v>0.919709797945067</v>
      </c>
      <c r="S53" s="24" t="n">
        <f aca="false">M53/(M53+N53)</f>
        <v>0.877618651108536</v>
      </c>
      <c r="T53" s="24" t="n">
        <f aca="false">J53/G53</f>
        <v>0.285934475389108</v>
      </c>
      <c r="U53" s="21" t="n">
        <f aca="false">IF(AND(A53&gt;=Seasonality!$C$4,A53&lt;=Seasonality!$C$5),1,0)</f>
        <v>0</v>
      </c>
    </row>
    <row r="54" customFormat="false" ht="15" hidden="false" customHeight="false" outlineLevel="0" collapsed="false">
      <c r="A54" s="20" t="n">
        <v>42064</v>
      </c>
      <c r="B54" s="21" t="s">
        <v>157</v>
      </c>
      <c r="C54" s="21" t="s">
        <v>42</v>
      </c>
      <c r="D54" s="21" t="s">
        <v>79</v>
      </c>
      <c r="E54" s="21" t="s">
        <v>108</v>
      </c>
      <c r="F54" s="22" t="n">
        <v>1942967</v>
      </c>
      <c r="G54" s="22" t="n">
        <v>1251325</v>
      </c>
      <c r="H54" s="22" t="n">
        <v>635259</v>
      </c>
      <c r="I54" s="22" t="n">
        <v>474941</v>
      </c>
      <c r="J54" s="22" t="n">
        <v>340682</v>
      </c>
      <c r="K54" s="22" t="n">
        <v>1801773</v>
      </c>
      <c r="L54" s="22" t="n">
        <v>141194</v>
      </c>
      <c r="M54" s="22" t="n">
        <v>1112666</v>
      </c>
      <c r="N54" s="22" t="n">
        <v>138659</v>
      </c>
      <c r="O54" s="22" t="n">
        <v>54</v>
      </c>
      <c r="P54" s="23" t="n">
        <v>0</v>
      </c>
      <c r="Q54" s="23" t="n">
        <v>1</v>
      </c>
      <c r="R54" s="24" t="n">
        <f aca="false">K54/(K54+L54)</f>
        <v>0.927330726666999</v>
      </c>
      <c r="S54" s="24" t="n">
        <f aca="false">M54/(M54+N54)</f>
        <v>0.889190258326174</v>
      </c>
      <c r="T54" s="24" t="n">
        <f aca="false">J54/G54</f>
        <v>0.272257007571974</v>
      </c>
      <c r="U54" s="21" t="n">
        <f aca="false">IF(AND(A54&gt;=Seasonality!$C$4,A54&lt;=Seasonality!$C$5),1,0)</f>
        <v>0</v>
      </c>
    </row>
    <row r="55" customFormat="false" ht="15" hidden="false" customHeight="false" outlineLevel="0" collapsed="false">
      <c r="A55" s="20" t="n">
        <v>42095</v>
      </c>
      <c r="B55" s="21" t="s">
        <v>158</v>
      </c>
      <c r="C55" s="21" t="s">
        <v>43</v>
      </c>
      <c r="D55" s="21" t="s">
        <v>80</v>
      </c>
      <c r="E55" s="21" t="s">
        <v>108</v>
      </c>
      <c r="F55" s="22" t="n">
        <v>1873168</v>
      </c>
      <c r="G55" s="22" t="n">
        <v>1206631</v>
      </c>
      <c r="H55" s="22" t="n">
        <v>614171</v>
      </c>
      <c r="I55" s="22" t="n">
        <v>450253</v>
      </c>
      <c r="J55" s="22" t="n">
        <v>326807</v>
      </c>
      <c r="K55" s="22" t="n">
        <v>1747368</v>
      </c>
      <c r="L55" s="22" t="n">
        <v>125799</v>
      </c>
      <c r="M55" s="22" t="n">
        <v>1083542</v>
      </c>
      <c r="N55" s="22" t="n">
        <v>123089</v>
      </c>
      <c r="O55" s="22" t="n">
        <v>58</v>
      </c>
      <c r="P55" s="23" t="n">
        <v>0</v>
      </c>
      <c r="Q55" s="23" t="n">
        <v>1</v>
      </c>
      <c r="R55" s="24" t="n">
        <f aca="false">K55/(K55+L55)</f>
        <v>0.932841545895267</v>
      </c>
      <c r="S55" s="24" t="n">
        <f aca="false">M55/(M55+N55)</f>
        <v>0.897989526209753</v>
      </c>
      <c r="T55" s="24" t="n">
        <f aca="false">J55/G55</f>
        <v>0.270842535953411</v>
      </c>
      <c r="U55" s="21" t="n">
        <f aca="false">IF(AND(A55&gt;=Seasonality!$C$4,A55&lt;=Seasonality!$C$5),1,0)</f>
        <v>0</v>
      </c>
    </row>
    <row r="56" customFormat="false" ht="15" hidden="false" customHeight="false" outlineLevel="0" collapsed="false">
      <c r="A56" s="20" t="n">
        <v>42125</v>
      </c>
      <c r="B56" s="21" t="s">
        <v>159</v>
      </c>
      <c r="C56" s="21" t="s">
        <v>43</v>
      </c>
      <c r="D56" s="21" t="s">
        <v>81</v>
      </c>
      <c r="E56" s="21" t="s">
        <v>108</v>
      </c>
      <c r="F56" s="22" t="n">
        <v>1937469</v>
      </c>
      <c r="G56" s="22" t="n">
        <v>1254445</v>
      </c>
      <c r="H56" s="22" t="n">
        <v>628214</v>
      </c>
      <c r="I56" s="22" t="n">
        <v>468416</v>
      </c>
      <c r="J56" s="22" t="n">
        <v>339572</v>
      </c>
      <c r="K56" s="22" t="n">
        <v>1827184</v>
      </c>
      <c r="L56" s="22" t="n">
        <v>110284</v>
      </c>
      <c r="M56" s="22" t="n">
        <v>1146859</v>
      </c>
      <c r="N56" s="22" t="n">
        <v>107586</v>
      </c>
      <c r="O56" s="22" t="n">
        <v>46</v>
      </c>
      <c r="P56" s="23" t="n">
        <v>0</v>
      </c>
      <c r="Q56" s="23" t="n">
        <v>1</v>
      </c>
      <c r="R56" s="24" t="n">
        <f aca="false">K56/(K56+L56)</f>
        <v>0.943078285680073</v>
      </c>
      <c r="S56" s="24" t="n">
        <f aca="false">M56/(M56+N56)</f>
        <v>0.914236176157584</v>
      </c>
      <c r="T56" s="24" t="n">
        <f aca="false">J56/G56</f>
        <v>0.270695008549598</v>
      </c>
      <c r="U56" s="21" t="n">
        <f aca="false">IF(AND(A56&gt;=Seasonality!$C$4,A56&lt;=Seasonality!$C$5),1,0)</f>
        <v>0</v>
      </c>
    </row>
    <row r="57" customFormat="false" ht="15" hidden="false" customHeight="false" outlineLevel="0" collapsed="false">
      <c r="A57" s="20" t="n">
        <v>42156</v>
      </c>
      <c r="B57" s="21" t="s">
        <v>160</v>
      </c>
      <c r="C57" s="21" t="s">
        <v>43</v>
      </c>
      <c r="D57" s="21" t="s">
        <v>82</v>
      </c>
      <c r="E57" s="21" t="s">
        <v>112</v>
      </c>
      <c r="F57" s="22" t="n">
        <v>1911209</v>
      </c>
      <c r="G57" s="22" t="n">
        <v>1249213</v>
      </c>
      <c r="H57" s="22" t="n">
        <v>608598</v>
      </c>
      <c r="I57" s="22" t="n">
        <v>458790</v>
      </c>
      <c r="J57" s="22" t="n">
        <v>328757</v>
      </c>
      <c r="K57" s="22" t="n">
        <v>1811885</v>
      </c>
      <c r="L57" s="22" t="n">
        <v>99324</v>
      </c>
      <c r="M57" s="22" t="n">
        <v>1152550</v>
      </c>
      <c r="N57" s="22" t="n">
        <v>96663</v>
      </c>
      <c r="O57" s="22" t="n">
        <v>25</v>
      </c>
      <c r="P57" s="23" t="n">
        <v>0</v>
      </c>
      <c r="Q57" s="23" t="n">
        <v>0</v>
      </c>
      <c r="R57" s="24" t="n">
        <f aca="false">K57/(K57+L57)</f>
        <v>0.948030801445577</v>
      </c>
      <c r="S57" s="24" t="n">
        <f aca="false">M57/(M57+N57)</f>
        <v>0.922620882107375</v>
      </c>
      <c r="T57" s="24" t="n">
        <f aca="false">J57/G57</f>
        <v>0.26317129264585</v>
      </c>
      <c r="U57" s="21" t="n">
        <f aca="false">IF(AND(A57&gt;=Seasonality!$C$4,A57&lt;=Seasonality!$C$5),1,0)</f>
        <v>0</v>
      </c>
    </row>
    <row r="58" customFormat="false" ht="15" hidden="false" customHeight="false" outlineLevel="0" collapsed="false">
      <c r="A58" s="20" t="n">
        <v>42186</v>
      </c>
      <c r="B58" s="21" t="s">
        <v>161</v>
      </c>
      <c r="C58" s="21" t="s">
        <v>43</v>
      </c>
      <c r="D58" s="21" t="s">
        <v>83</v>
      </c>
      <c r="E58" s="21" t="s">
        <v>112</v>
      </c>
      <c r="F58" s="22" t="n">
        <v>1952895</v>
      </c>
      <c r="G58" s="22" t="n">
        <v>1271523</v>
      </c>
      <c r="H58" s="22" t="n">
        <v>627955</v>
      </c>
      <c r="I58" s="22" t="n">
        <v>473914</v>
      </c>
      <c r="J58" s="22" t="n">
        <v>338445</v>
      </c>
      <c r="K58" s="22" t="n">
        <v>1855420</v>
      </c>
      <c r="L58" s="22" t="n">
        <v>97475</v>
      </c>
      <c r="M58" s="22" t="n">
        <v>1176360</v>
      </c>
      <c r="N58" s="22" t="n">
        <v>95163</v>
      </c>
      <c r="O58" s="22" t="n">
        <v>22</v>
      </c>
      <c r="P58" s="23" t="n">
        <v>0</v>
      </c>
      <c r="Q58" s="23" t="n">
        <v>0</v>
      </c>
      <c r="R58" s="24" t="n">
        <f aca="false">K58/(K58+L58)</f>
        <v>0.950086922235963</v>
      </c>
      <c r="S58" s="24" t="n">
        <f aca="false">M58/(M58+N58)</f>
        <v>0.92515825510038</v>
      </c>
      <c r="T58" s="24" t="n">
        <f aca="false">J58/G58</f>
        <v>0.266172928055568</v>
      </c>
      <c r="U58" s="21" t="n">
        <f aca="false">IF(AND(A58&gt;=Seasonality!$C$4,A58&lt;=Seasonality!$C$5),1,0)</f>
        <v>0</v>
      </c>
    </row>
    <row r="59" customFormat="false" ht="15" hidden="false" customHeight="false" outlineLevel="0" collapsed="false">
      <c r="A59" s="20" t="n">
        <v>42217</v>
      </c>
      <c r="B59" s="21" t="s">
        <v>162</v>
      </c>
      <c r="C59" s="21" t="s">
        <v>43</v>
      </c>
      <c r="D59" s="21" t="s">
        <v>84</v>
      </c>
      <c r="E59" s="21" t="s">
        <v>112</v>
      </c>
      <c r="F59" s="22" t="n">
        <v>1865139</v>
      </c>
      <c r="G59" s="22" t="n">
        <v>1215826</v>
      </c>
      <c r="H59" s="22" t="n">
        <v>599855</v>
      </c>
      <c r="I59" s="22" t="n">
        <v>455432</v>
      </c>
      <c r="J59" s="22" t="n">
        <v>331841</v>
      </c>
      <c r="K59" s="22" t="n">
        <v>1758664</v>
      </c>
      <c r="L59" s="22" t="n">
        <v>106475</v>
      </c>
      <c r="M59" s="22" t="n">
        <v>1111430</v>
      </c>
      <c r="N59" s="22" t="n">
        <v>104396</v>
      </c>
      <c r="O59" s="22" t="n">
        <v>28</v>
      </c>
      <c r="P59" s="23" t="n">
        <v>0</v>
      </c>
      <c r="Q59" s="23" t="n">
        <v>0</v>
      </c>
      <c r="R59" s="24" t="n">
        <f aca="false">K59/(K59+L59)</f>
        <v>0.942913101918946</v>
      </c>
      <c r="S59" s="24" t="n">
        <f aca="false">M59/(M59+N59)</f>
        <v>0.914135739818033</v>
      </c>
      <c r="T59" s="24" t="n">
        <f aca="false">J59/G59</f>
        <v>0.272934613999043</v>
      </c>
      <c r="U59" s="21" t="n">
        <f aca="false">IF(AND(A59&gt;=Seasonality!$C$4,A59&lt;=Seasonality!$C$5),1,0)</f>
        <v>0</v>
      </c>
    </row>
    <row r="60" customFormat="false" ht="15" hidden="false" customHeight="false" outlineLevel="0" collapsed="false">
      <c r="A60" s="20" t="n">
        <v>42248</v>
      </c>
      <c r="B60" s="21" t="s">
        <v>163</v>
      </c>
      <c r="C60" s="21" t="s">
        <v>43</v>
      </c>
      <c r="D60" s="21" t="s">
        <v>85</v>
      </c>
      <c r="E60" s="21" t="s">
        <v>102</v>
      </c>
      <c r="F60" s="22" t="n">
        <v>1859979</v>
      </c>
      <c r="G60" s="22" t="n">
        <v>1221594</v>
      </c>
      <c r="H60" s="22" t="n">
        <v>587517</v>
      </c>
      <c r="I60" s="22" t="n">
        <v>464195</v>
      </c>
      <c r="J60" s="22" t="n">
        <v>332984</v>
      </c>
      <c r="K60" s="22" t="n">
        <v>1736868</v>
      </c>
      <c r="L60" s="22" t="n">
        <v>123111</v>
      </c>
      <c r="M60" s="22" t="n">
        <v>1101364</v>
      </c>
      <c r="N60" s="22" t="n">
        <v>120230</v>
      </c>
      <c r="O60" s="22" t="n">
        <v>23</v>
      </c>
      <c r="P60" s="23" t="n">
        <v>0</v>
      </c>
      <c r="Q60" s="23" t="n">
        <v>0</v>
      </c>
      <c r="R60" s="24" t="n">
        <f aca="false">K60/(K60+L60)</f>
        <v>0.93381054302226</v>
      </c>
      <c r="S60" s="24" t="n">
        <f aca="false">M60/(M60+N60)</f>
        <v>0.901579411817674</v>
      </c>
      <c r="T60" s="24" t="n">
        <f aca="false">J60/G60</f>
        <v>0.272581561468049</v>
      </c>
      <c r="U60" s="21" t="n">
        <f aca="false">IF(AND(A60&gt;=Seasonality!$C$4,A60&lt;=Seasonality!$C$5),1,0)</f>
        <v>0</v>
      </c>
    </row>
    <row r="61" customFormat="false" ht="15" hidden="false" customHeight="false" outlineLevel="0" collapsed="false">
      <c r="A61" s="20" t="n">
        <v>42278</v>
      </c>
      <c r="B61" s="21" t="s">
        <v>164</v>
      </c>
      <c r="C61" s="21" t="s">
        <v>43</v>
      </c>
      <c r="D61" s="21" t="s">
        <v>86</v>
      </c>
      <c r="E61" s="21" t="s">
        <v>102</v>
      </c>
      <c r="F61" s="22" t="n">
        <v>1923108</v>
      </c>
      <c r="G61" s="22" t="n">
        <v>1261395</v>
      </c>
      <c r="H61" s="22" t="n">
        <v>611438</v>
      </c>
      <c r="I61" s="22" t="n">
        <v>479987</v>
      </c>
      <c r="J61" s="22" t="n">
        <v>345833</v>
      </c>
      <c r="K61" s="22" t="n">
        <v>1775554</v>
      </c>
      <c r="L61" s="22" t="n">
        <v>147554</v>
      </c>
      <c r="M61" s="22" t="n">
        <v>1117242</v>
      </c>
      <c r="N61" s="22" t="n">
        <v>144153</v>
      </c>
      <c r="O61" s="22" t="n">
        <v>58</v>
      </c>
      <c r="P61" s="23" t="n">
        <v>0</v>
      </c>
      <c r="Q61" s="23" t="n">
        <v>0</v>
      </c>
      <c r="R61" s="24" t="n">
        <f aca="false">K61/(K61+L61)</f>
        <v>0.923273159905736</v>
      </c>
      <c r="S61" s="24" t="n">
        <f aca="false">M61/(M61+N61)</f>
        <v>0.885719382112661</v>
      </c>
      <c r="T61" s="24" t="n">
        <f aca="false">J61/G61</f>
        <v>0.274167092782198</v>
      </c>
      <c r="U61" s="21" t="n">
        <f aca="false">IF(AND(A61&gt;=Seasonality!$C$4,A61&lt;=Seasonality!$C$5),1,0)</f>
        <v>0</v>
      </c>
    </row>
    <row r="62" customFormat="false" ht="15" hidden="false" customHeight="false" outlineLevel="0" collapsed="false">
      <c r="A62" s="20" t="n">
        <v>42309</v>
      </c>
      <c r="B62" s="21" t="s">
        <v>165</v>
      </c>
      <c r="C62" s="21" t="s">
        <v>43</v>
      </c>
      <c r="D62" s="21" t="s">
        <v>87</v>
      </c>
      <c r="E62" s="21" t="s">
        <v>102</v>
      </c>
      <c r="F62" s="22" t="n">
        <v>1874235</v>
      </c>
      <c r="G62" s="22" t="n">
        <v>1236294</v>
      </c>
      <c r="H62" s="22" t="n">
        <v>589635</v>
      </c>
      <c r="I62" s="22" t="n">
        <v>475564</v>
      </c>
      <c r="J62" s="22" t="n">
        <v>340241</v>
      </c>
      <c r="K62" s="22" t="n">
        <v>1710763</v>
      </c>
      <c r="L62" s="22" t="n">
        <v>163472</v>
      </c>
      <c r="M62" s="22" t="n">
        <v>1075801</v>
      </c>
      <c r="N62" s="22" t="n">
        <v>160493</v>
      </c>
      <c r="O62" s="22" t="n">
        <v>29</v>
      </c>
      <c r="P62" s="23" t="n">
        <v>0</v>
      </c>
      <c r="Q62" s="23" t="n">
        <v>0</v>
      </c>
      <c r="R62" s="24" t="n">
        <f aca="false">K62/(K62+L62)</f>
        <v>0.912779347307035</v>
      </c>
      <c r="S62" s="24" t="n">
        <f aca="false">M62/(M62+N62)</f>
        <v>0.870182173495948</v>
      </c>
      <c r="T62" s="24" t="n">
        <f aca="false">J62/G62</f>
        <v>0.275210427293184</v>
      </c>
      <c r="U62" s="21" t="n">
        <f aca="false">IF(AND(A62&gt;=Seasonality!$C$4,A62&lt;=Seasonality!$C$5),1,0)</f>
        <v>0</v>
      </c>
    </row>
    <row r="63" customFormat="false" ht="15" hidden="false" customHeight="false" outlineLevel="0" collapsed="false">
      <c r="A63" s="20" t="n">
        <v>42339</v>
      </c>
      <c r="B63" s="21" t="s">
        <v>166</v>
      </c>
      <c r="C63" s="21" t="s">
        <v>43</v>
      </c>
      <c r="D63" s="21" t="s">
        <v>88</v>
      </c>
      <c r="E63" s="21" t="s">
        <v>104</v>
      </c>
      <c r="F63" s="22" t="n">
        <v>1867652</v>
      </c>
      <c r="G63" s="22" t="n">
        <v>1232965</v>
      </c>
      <c r="H63" s="22" t="n">
        <v>588539</v>
      </c>
      <c r="I63" s="22" t="n">
        <v>487798</v>
      </c>
      <c r="J63" s="22" t="n">
        <v>353112</v>
      </c>
      <c r="K63" s="22" t="n">
        <v>1699048</v>
      </c>
      <c r="L63" s="22" t="n">
        <v>168604</v>
      </c>
      <c r="M63" s="22" t="n">
        <v>1067228</v>
      </c>
      <c r="N63" s="22" t="n">
        <v>165737</v>
      </c>
      <c r="O63" s="22" t="n">
        <v>29</v>
      </c>
      <c r="P63" s="23" t="n">
        <v>0</v>
      </c>
      <c r="Q63" s="23" t="n">
        <v>0</v>
      </c>
      <c r="R63" s="24" t="n">
        <f aca="false">K63/(K63+L63)</f>
        <v>0.909724081359911</v>
      </c>
      <c r="S63" s="24" t="n">
        <f aca="false">M63/(M63+N63)</f>
        <v>0.865578503850474</v>
      </c>
      <c r="T63" s="24" t="n">
        <f aca="false">J63/G63</f>
        <v>0.28639255777739</v>
      </c>
      <c r="U63" s="21" t="n">
        <f aca="false">IF(AND(A63&gt;=Seasonality!$C$4,A63&lt;=Seasonality!$C$5),1,0)</f>
        <v>0</v>
      </c>
    </row>
    <row r="64" customFormat="false" ht="15" hidden="false" customHeight="false" outlineLevel="0" collapsed="false">
      <c r="A64" s="20" t="n">
        <v>42370</v>
      </c>
      <c r="B64" s="21" t="s">
        <v>167</v>
      </c>
      <c r="C64" s="21" t="s">
        <v>43</v>
      </c>
      <c r="D64" s="21" t="s">
        <v>77</v>
      </c>
      <c r="E64" s="21" t="s">
        <v>104</v>
      </c>
      <c r="F64" s="22" t="n">
        <v>1906920</v>
      </c>
      <c r="G64" s="22" t="n">
        <v>1250005</v>
      </c>
      <c r="H64" s="22" t="n">
        <v>609707</v>
      </c>
      <c r="I64" s="22" t="n">
        <v>484833</v>
      </c>
      <c r="J64" s="22" t="n">
        <v>353778</v>
      </c>
      <c r="K64" s="22" t="n">
        <v>1690634</v>
      </c>
      <c r="L64" s="22" t="n">
        <v>216286</v>
      </c>
      <c r="M64" s="22" t="n">
        <v>1037870</v>
      </c>
      <c r="N64" s="22" t="n">
        <v>212135</v>
      </c>
      <c r="O64" s="22" t="n">
        <v>158</v>
      </c>
      <c r="P64" s="23" t="n">
        <v>0</v>
      </c>
      <c r="Q64" s="23" t="n">
        <v>0</v>
      </c>
      <c r="R64" s="24" t="n">
        <f aca="false">K64/(K64+L64)</f>
        <v>0.886578356721834</v>
      </c>
      <c r="S64" s="24" t="n">
        <f aca="false">M64/(M64+N64)</f>
        <v>0.830292678829285</v>
      </c>
      <c r="T64" s="24" t="n">
        <f aca="false">J64/G64</f>
        <v>0.283021267914928</v>
      </c>
      <c r="U64" s="21" t="n">
        <f aca="false">IF(AND(A64&gt;=Seasonality!$C$4,A64&lt;=Seasonality!$C$5),1,0)</f>
        <v>0</v>
      </c>
    </row>
    <row r="65" customFormat="false" ht="15" hidden="false" customHeight="false" outlineLevel="0" collapsed="false">
      <c r="A65" s="20" t="n">
        <v>42401</v>
      </c>
      <c r="B65" s="21" t="s">
        <v>168</v>
      </c>
      <c r="C65" s="21" t="s">
        <v>43</v>
      </c>
      <c r="D65" s="21" t="s">
        <v>78</v>
      </c>
      <c r="E65" s="21" t="s">
        <v>104</v>
      </c>
      <c r="F65" s="22" t="n">
        <v>1870776</v>
      </c>
      <c r="G65" s="22" t="n">
        <v>1218372</v>
      </c>
      <c r="H65" s="22" t="n">
        <v>604017</v>
      </c>
      <c r="I65" s="22" t="n">
        <v>462864</v>
      </c>
      <c r="J65" s="22" t="n">
        <v>333519</v>
      </c>
      <c r="K65" s="22" t="n">
        <v>1641695</v>
      </c>
      <c r="L65" s="22" t="n">
        <v>229081</v>
      </c>
      <c r="M65" s="22" t="n">
        <v>994262</v>
      </c>
      <c r="N65" s="22" t="n">
        <v>224110</v>
      </c>
      <c r="O65" s="22" t="n">
        <v>188</v>
      </c>
      <c r="P65" s="23" t="n">
        <v>0</v>
      </c>
      <c r="Q65" s="23" t="n">
        <v>0</v>
      </c>
      <c r="R65" s="24" t="n">
        <f aca="false">K65/(K65+L65)</f>
        <v>0.877547605913268</v>
      </c>
      <c r="S65" s="24" t="n">
        <f aca="false">M65/(M65+N65)</f>
        <v>0.816057821420716</v>
      </c>
      <c r="T65" s="24" t="n">
        <f aca="false">J65/G65</f>
        <v>0.273741517369079</v>
      </c>
      <c r="U65" s="21" t="n">
        <f aca="false">IF(AND(A65&gt;=Seasonality!$C$4,A65&lt;=Seasonality!$C$5),1,0)</f>
        <v>0</v>
      </c>
    </row>
    <row r="66" customFormat="false" ht="15" hidden="false" customHeight="false" outlineLevel="0" collapsed="false">
      <c r="A66" s="20" t="n">
        <v>42430</v>
      </c>
      <c r="B66" s="21" t="s">
        <v>169</v>
      </c>
      <c r="C66" s="21" t="s">
        <v>43</v>
      </c>
      <c r="D66" s="21" t="s">
        <v>79</v>
      </c>
      <c r="E66" s="21" t="s">
        <v>108</v>
      </c>
      <c r="F66" s="22" t="n">
        <v>2087553</v>
      </c>
      <c r="G66" s="22" t="n">
        <v>1350373</v>
      </c>
      <c r="H66" s="22" t="n">
        <v>687274</v>
      </c>
      <c r="I66" s="22" t="n">
        <v>494076</v>
      </c>
      <c r="J66" s="22" t="n">
        <v>357724</v>
      </c>
      <c r="K66" s="22" t="n">
        <v>1821719</v>
      </c>
      <c r="L66" s="22" t="n">
        <v>265834</v>
      </c>
      <c r="M66" s="22" t="n">
        <v>1091694</v>
      </c>
      <c r="N66" s="22" t="n">
        <v>258679</v>
      </c>
      <c r="O66" s="22" t="n">
        <v>349</v>
      </c>
      <c r="P66" s="23" t="n">
        <v>0</v>
      </c>
      <c r="Q66" s="23" t="n">
        <v>0</v>
      </c>
      <c r="R66" s="24" t="n">
        <f aca="false">K66/(K66+L66)</f>
        <v>0.872657604381781</v>
      </c>
      <c r="S66" s="24" t="n">
        <f aca="false">M66/(M66+N66)</f>
        <v>0.808438853561201</v>
      </c>
      <c r="T66" s="24" t="n">
        <f aca="false">J66/G66</f>
        <v>0.264907547766432</v>
      </c>
      <c r="U66" s="21" t="n">
        <f aca="false">IF(AND(A66&gt;=Seasonality!$C$4,A66&lt;=Seasonality!$C$5),1,0)</f>
        <v>0</v>
      </c>
    </row>
    <row r="67" customFormat="false" ht="15" hidden="false" customHeight="false" outlineLevel="0" collapsed="false">
      <c r="A67" s="20" t="n">
        <v>42461</v>
      </c>
      <c r="B67" s="21" t="s">
        <v>170</v>
      </c>
      <c r="C67" s="21" t="s">
        <v>44</v>
      </c>
      <c r="D67" s="21" t="s">
        <v>80</v>
      </c>
      <c r="E67" s="21" t="s">
        <v>108</v>
      </c>
      <c r="F67" s="22" t="n">
        <v>1867781</v>
      </c>
      <c r="G67" s="22" t="n">
        <v>1214057</v>
      </c>
      <c r="H67" s="22" t="n">
        <v>603365</v>
      </c>
      <c r="I67" s="22" t="n">
        <v>460209</v>
      </c>
      <c r="J67" s="22" t="n">
        <v>333458</v>
      </c>
      <c r="K67" s="22" t="n">
        <v>1681659</v>
      </c>
      <c r="L67" s="22" t="n">
        <v>186122</v>
      </c>
      <c r="M67" s="22" t="n">
        <v>1031657</v>
      </c>
      <c r="N67" s="22" t="n">
        <v>182400</v>
      </c>
      <c r="O67" s="22" t="n">
        <v>196</v>
      </c>
      <c r="P67" s="23" t="n">
        <v>0</v>
      </c>
      <c r="Q67" s="23" t="n">
        <v>0</v>
      </c>
      <c r="R67" s="24" t="n">
        <f aca="false">K67/(K67+L67)</f>
        <v>0.900351272445753</v>
      </c>
      <c r="S67" s="24" t="n">
        <f aca="false">M67/(M67+N67)</f>
        <v>0.849759937136395</v>
      </c>
      <c r="T67" s="24" t="n">
        <f aca="false">J67/G67</f>
        <v>0.27466420439897</v>
      </c>
      <c r="U67" s="21" t="n">
        <f aca="false">IF(AND(A67&gt;=Seasonality!$C$4,A67&lt;=Seasonality!$C$5),1,0)</f>
        <v>0</v>
      </c>
    </row>
    <row r="68" customFormat="false" ht="15" hidden="false" customHeight="false" outlineLevel="0" collapsed="false">
      <c r="A68" s="20" t="n">
        <v>42491</v>
      </c>
      <c r="B68" s="21" t="s">
        <v>171</v>
      </c>
      <c r="C68" s="21" t="s">
        <v>44</v>
      </c>
      <c r="D68" s="21" t="s">
        <v>81</v>
      </c>
      <c r="E68" s="21" t="s">
        <v>108</v>
      </c>
      <c r="F68" s="22" t="n">
        <v>2070340</v>
      </c>
      <c r="G68" s="22" t="n">
        <v>1353206</v>
      </c>
      <c r="H68" s="22" t="n">
        <v>664954</v>
      </c>
      <c r="I68" s="22" t="n">
        <v>493191</v>
      </c>
      <c r="J68" s="22" t="n">
        <v>359307</v>
      </c>
      <c r="K68" s="22" t="n">
        <v>1869011</v>
      </c>
      <c r="L68" s="22" t="n">
        <v>201329</v>
      </c>
      <c r="M68" s="22" t="n">
        <v>1156105</v>
      </c>
      <c r="N68" s="22" t="n">
        <v>197101</v>
      </c>
      <c r="O68" s="22" t="n">
        <v>107</v>
      </c>
      <c r="P68" s="23" t="n">
        <v>0</v>
      </c>
      <c r="Q68" s="23" t="n">
        <v>0</v>
      </c>
      <c r="R68" s="24" t="n">
        <f aca="false">K68/(K68+L68)</f>
        <v>0.902755586039008</v>
      </c>
      <c r="S68" s="24" t="n">
        <f aca="false">M68/(M68+N68)</f>
        <v>0.854345162525144</v>
      </c>
      <c r="T68" s="24" t="n">
        <f aca="false">J68/G68</f>
        <v>0.26552276593512</v>
      </c>
      <c r="U68" s="21" t="n">
        <f aca="false">IF(AND(A68&gt;=Seasonality!$C$4,A68&lt;=Seasonality!$C$5),1,0)</f>
        <v>0</v>
      </c>
    </row>
    <row r="69" customFormat="false" ht="15" hidden="false" customHeight="false" outlineLevel="0" collapsed="false">
      <c r="A69" s="20" t="n">
        <v>42522</v>
      </c>
      <c r="B69" s="21" t="s">
        <v>172</v>
      </c>
      <c r="C69" s="21" t="s">
        <v>44</v>
      </c>
      <c r="D69" s="21" t="s">
        <v>82</v>
      </c>
      <c r="E69" s="21" t="s">
        <v>112</v>
      </c>
      <c r="F69" s="22" t="n">
        <v>1958802</v>
      </c>
      <c r="G69" s="22" t="n">
        <v>1282499</v>
      </c>
      <c r="H69" s="22" t="n">
        <v>624123</v>
      </c>
      <c r="I69" s="22" t="n">
        <v>480210</v>
      </c>
      <c r="J69" s="22" t="n">
        <v>346030</v>
      </c>
      <c r="K69" s="22" t="n">
        <v>1773890</v>
      </c>
      <c r="L69" s="22" t="n">
        <v>184912</v>
      </c>
      <c r="M69" s="22" t="n">
        <v>1100964</v>
      </c>
      <c r="N69" s="22" t="n">
        <v>181535</v>
      </c>
      <c r="O69" s="22" t="n">
        <v>84</v>
      </c>
      <c r="P69" s="23" t="n">
        <v>0</v>
      </c>
      <c r="Q69" s="23" t="n">
        <v>0</v>
      </c>
      <c r="R69" s="24" t="n">
        <f aca="false">K69/(K69+L69)</f>
        <v>0.905599442924808</v>
      </c>
      <c r="S69" s="24" t="n">
        <f aca="false">M69/(M69+N69)</f>
        <v>0.858452131346691</v>
      </c>
      <c r="T69" s="24" t="n">
        <f aca="false">J69/G69</f>
        <v>0.269809177239125</v>
      </c>
      <c r="U69" s="21" t="n">
        <f aca="false">IF(AND(A69&gt;=Seasonality!$C$4,A69&lt;=Seasonality!$C$5),1,0)</f>
        <v>0</v>
      </c>
    </row>
    <row r="70" customFormat="false" ht="15" hidden="false" customHeight="false" outlineLevel="0" collapsed="false">
      <c r="A70" s="20" t="n">
        <v>42552</v>
      </c>
      <c r="B70" s="21" t="s">
        <v>173</v>
      </c>
      <c r="C70" s="21" t="s">
        <v>44</v>
      </c>
      <c r="D70" s="21" t="s">
        <v>83</v>
      </c>
      <c r="E70" s="21" t="s">
        <v>112</v>
      </c>
      <c r="F70" s="22" t="n">
        <v>2079034</v>
      </c>
      <c r="G70" s="22" t="n">
        <v>1353477</v>
      </c>
      <c r="H70" s="22" t="n">
        <v>672596</v>
      </c>
      <c r="I70" s="22" t="n">
        <v>490221</v>
      </c>
      <c r="J70" s="22" t="n">
        <v>356986</v>
      </c>
      <c r="K70" s="22" t="n">
        <v>1877061</v>
      </c>
      <c r="L70" s="22" t="n">
        <v>201973</v>
      </c>
      <c r="M70" s="22" t="n">
        <v>1155474</v>
      </c>
      <c r="N70" s="22" t="n">
        <v>198003</v>
      </c>
      <c r="O70" s="22" t="n">
        <v>113</v>
      </c>
      <c r="P70" s="23" t="n">
        <v>0</v>
      </c>
      <c r="Q70" s="23" t="n">
        <v>0</v>
      </c>
      <c r="R70" s="24" t="n">
        <f aca="false">K70/(K70+L70)</f>
        <v>0.902852478603044</v>
      </c>
      <c r="S70" s="24" t="n">
        <f aca="false">M70/(M70+N70)</f>
        <v>0.853707894556021</v>
      </c>
      <c r="T70" s="24" t="n">
        <f aca="false">J70/G70</f>
        <v>0.263754759039127</v>
      </c>
      <c r="U70" s="21" t="n">
        <f aca="false">IF(AND(A70&gt;=Seasonality!$C$4,A70&lt;=Seasonality!$C$5),1,0)</f>
        <v>0</v>
      </c>
    </row>
    <row r="71" customFormat="false" ht="15" hidden="false" customHeight="false" outlineLevel="0" collapsed="false">
      <c r="A71" s="20" t="n">
        <v>42583</v>
      </c>
      <c r="B71" s="21" t="s">
        <v>174</v>
      </c>
      <c r="C71" s="21" t="s">
        <v>44</v>
      </c>
      <c r="D71" s="21" t="s">
        <v>84</v>
      </c>
      <c r="E71" s="21" t="s">
        <v>112</v>
      </c>
      <c r="F71" s="22" t="n">
        <v>1932901</v>
      </c>
      <c r="G71" s="22" t="n">
        <v>1254439</v>
      </c>
      <c r="H71" s="22" t="n">
        <v>626058</v>
      </c>
      <c r="I71" s="22" t="n">
        <v>470554</v>
      </c>
      <c r="J71" s="22" t="n">
        <v>342617</v>
      </c>
      <c r="K71" s="22" t="n">
        <v>1758482</v>
      </c>
      <c r="L71" s="22" t="n">
        <v>174419</v>
      </c>
      <c r="M71" s="22" t="n">
        <v>1083307</v>
      </c>
      <c r="N71" s="22" t="n">
        <v>171132</v>
      </c>
      <c r="O71" s="22" t="n">
        <v>57</v>
      </c>
      <c r="P71" s="23" t="n">
        <v>0</v>
      </c>
      <c r="Q71" s="23" t="n">
        <v>0</v>
      </c>
      <c r="R71" s="24" t="n">
        <f aca="false">K71/(K71+L71)</f>
        <v>0.909763097023593</v>
      </c>
      <c r="S71" s="24" t="n">
        <f aca="false">M71/(M71+N71)</f>
        <v>0.863578858756783</v>
      </c>
      <c r="T71" s="24" t="n">
        <f aca="false">J71/G71</f>
        <v>0.273123683176304</v>
      </c>
      <c r="U71" s="21" t="n">
        <f aca="false">IF(AND(A71&gt;=Seasonality!$C$4,A71&lt;=Seasonality!$C$5),1,0)</f>
        <v>0</v>
      </c>
    </row>
    <row r="72" customFormat="false" ht="15" hidden="false" customHeight="false" outlineLevel="0" collapsed="false">
      <c r="A72" s="20" t="n">
        <v>42614</v>
      </c>
      <c r="B72" s="21" t="s">
        <v>175</v>
      </c>
      <c r="C72" s="21" t="s">
        <v>44</v>
      </c>
      <c r="D72" s="21" t="s">
        <v>85</v>
      </c>
      <c r="E72" s="21" t="s">
        <v>102</v>
      </c>
      <c r="F72" s="22" t="n">
        <v>1952464</v>
      </c>
      <c r="G72" s="22" t="n">
        <v>1277578</v>
      </c>
      <c r="H72" s="22" t="n">
        <v>622365</v>
      </c>
      <c r="I72" s="22" t="n">
        <v>475808</v>
      </c>
      <c r="J72" s="22" t="n">
        <v>345085</v>
      </c>
      <c r="K72" s="22" t="n">
        <v>1769867</v>
      </c>
      <c r="L72" s="22" t="n">
        <v>182597</v>
      </c>
      <c r="M72" s="22" t="n">
        <v>1098740</v>
      </c>
      <c r="N72" s="22" t="n">
        <v>178838</v>
      </c>
      <c r="O72" s="22" t="n">
        <v>86</v>
      </c>
      <c r="P72" s="23" t="n">
        <v>0</v>
      </c>
      <c r="Q72" s="23" t="n">
        <v>0</v>
      </c>
      <c r="R72" s="24" t="n">
        <f aca="false">K72/(K72+L72)</f>
        <v>0.906478685394455</v>
      </c>
      <c r="S72" s="24" t="n">
        <f aca="false">M72/(M72+N72)</f>
        <v>0.860017940196215</v>
      </c>
      <c r="T72" s="24" t="n">
        <f aca="false">J72/G72</f>
        <v>0.270108752655415</v>
      </c>
      <c r="U72" s="21" t="n">
        <f aca="false">IF(AND(A72&gt;=Seasonality!$C$4,A72&lt;=Seasonality!$C$5),1,0)</f>
        <v>0</v>
      </c>
    </row>
    <row r="73" customFormat="false" ht="15" hidden="false" customHeight="false" outlineLevel="0" collapsed="false">
      <c r="A73" s="20" t="n">
        <v>42644</v>
      </c>
      <c r="B73" s="21" t="s">
        <v>176</v>
      </c>
      <c r="C73" s="21" t="s">
        <v>44</v>
      </c>
      <c r="D73" s="21" t="s">
        <v>86</v>
      </c>
      <c r="E73" s="21" t="s">
        <v>102</v>
      </c>
      <c r="F73" s="22" t="n">
        <v>2001816</v>
      </c>
      <c r="G73" s="22" t="n">
        <v>1317571</v>
      </c>
      <c r="H73" s="22" t="n">
        <v>633225</v>
      </c>
      <c r="I73" s="22" t="n">
        <v>492983</v>
      </c>
      <c r="J73" s="22" t="n">
        <v>357874</v>
      </c>
      <c r="K73" s="22" t="n">
        <v>1782679</v>
      </c>
      <c r="L73" s="22" t="n">
        <v>219137</v>
      </c>
      <c r="M73" s="22" t="n">
        <v>1102967</v>
      </c>
      <c r="N73" s="22" t="n">
        <v>214604</v>
      </c>
      <c r="O73" s="22" t="n">
        <v>252</v>
      </c>
      <c r="P73" s="23" t="n">
        <v>0</v>
      </c>
      <c r="Q73" s="23" t="n">
        <v>0</v>
      </c>
      <c r="R73" s="24" t="n">
        <f aca="false">K73/(K73+L73)</f>
        <v>0.890530897944666</v>
      </c>
      <c r="S73" s="24" t="n">
        <f aca="false">M73/(M73+N73)</f>
        <v>0.837121490986065</v>
      </c>
      <c r="T73" s="24" t="n">
        <f aca="false">J73/G73</f>
        <v>0.271616482147831</v>
      </c>
      <c r="U73" s="21" t="n">
        <f aca="false">IF(AND(A73&gt;=Seasonality!$C$4,A73&lt;=Seasonality!$C$5),1,0)</f>
        <v>0</v>
      </c>
    </row>
    <row r="74" customFormat="false" ht="15" hidden="false" customHeight="false" outlineLevel="0" collapsed="false">
      <c r="A74" s="20" t="n">
        <v>42675</v>
      </c>
      <c r="B74" s="21" t="s">
        <v>177</v>
      </c>
      <c r="C74" s="21" t="s">
        <v>44</v>
      </c>
      <c r="D74" s="21" t="s">
        <v>87</v>
      </c>
      <c r="E74" s="21" t="s">
        <v>102</v>
      </c>
      <c r="F74" s="22" t="n">
        <v>1907871</v>
      </c>
      <c r="G74" s="22" t="n">
        <v>1258205</v>
      </c>
      <c r="H74" s="22" t="n">
        <v>599687</v>
      </c>
      <c r="I74" s="22" t="n">
        <v>489326</v>
      </c>
      <c r="J74" s="22" t="n">
        <v>351285</v>
      </c>
      <c r="K74" s="22" t="n">
        <v>1686158</v>
      </c>
      <c r="L74" s="22" t="n">
        <v>221713</v>
      </c>
      <c r="M74" s="22" t="n">
        <v>1040079</v>
      </c>
      <c r="N74" s="22" t="n">
        <v>218126</v>
      </c>
      <c r="O74" s="22" t="n">
        <v>457</v>
      </c>
      <c r="P74" s="23" t="n">
        <v>0</v>
      </c>
      <c r="Q74" s="23" t="n">
        <v>0</v>
      </c>
      <c r="R74" s="24" t="n">
        <f aca="false">K74/(K74+L74)</f>
        <v>0.883790361088355</v>
      </c>
      <c r="S74" s="24" t="n">
        <f aca="false">M74/(M74+N74)</f>
        <v>0.826637153722962</v>
      </c>
      <c r="T74" s="24" t="n">
        <f aca="false">J74/G74</f>
        <v>0.279195361646155</v>
      </c>
      <c r="U74" s="21" t="n">
        <f aca="false">IF(AND(A74&gt;=Seasonality!$C$4,A74&lt;=Seasonality!$C$5),1,0)</f>
        <v>0</v>
      </c>
    </row>
    <row r="75" customFormat="false" ht="15" hidden="false" customHeight="false" outlineLevel="0" collapsed="false">
      <c r="A75" s="20" t="n">
        <v>42705</v>
      </c>
      <c r="B75" s="21" t="s">
        <v>178</v>
      </c>
      <c r="C75" s="21" t="s">
        <v>44</v>
      </c>
      <c r="D75" s="21" t="s">
        <v>88</v>
      </c>
      <c r="E75" s="21" t="s">
        <v>104</v>
      </c>
      <c r="F75" s="22" t="n">
        <v>1944567</v>
      </c>
      <c r="G75" s="22" t="n">
        <v>1277133</v>
      </c>
      <c r="H75" s="22" t="n">
        <v>621865</v>
      </c>
      <c r="I75" s="22" t="n">
        <v>497915</v>
      </c>
      <c r="J75" s="22" t="n">
        <v>366086</v>
      </c>
      <c r="K75" s="22" t="n">
        <v>1675749</v>
      </c>
      <c r="L75" s="22" t="n">
        <v>268818</v>
      </c>
      <c r="M75" s="22" t="n">
        <v>1013156</v>
      </c>
      <c r="N75" s="22" t="n">
        <v>263977</v>
      </c>
      <c r="O75" s="22" t="n">
        <v>553</v>
      </c>
      <c r="P75" s="23" t="n">
        <v>0</v>
      </c>
      <c r="Q75" s="23" t="n">
        <v>0</v>
      </c>
      <c r="R75" s="24" t="n">
        <f aca="false">K75/(K75+L75)</f>
        <v>0.861759455961147</v>
      </c>
      <c r="S75" s="24" t="n">
        <f aca="false">M75/(M75+N75)</f>
        <v>0.793305004255626</v>
      </c>
      <c r="T75" s="24" t="n">
        <f aca="false">J75/G75</f>
        <v>0.286646731389761</v>
      </c>
      <c r="U75" s="21" t="n">
        <f aca="false">IF(AND(A75&gt;=Seasonality!$C$4,A75&lt;=Seasonality!$C$5),1,0)</f>
        <v>0</v>
      </c>
    </row>
    <row r="76" customFormat="false" ht="15" hidden="false" customHeight="false" outlineLevel="0" collapsed="false">
      <c r="A76" s="20" t="n">
        <v>42736</v>
      </c>
      <c r="B76" s="21" t="s">
        <v>179</v>
      </c>
      <c r="C76" s="21" t="s">
        <v>44</v>
      </c>
      <c r="D76" s="21" t="s">
        <v>77</v>
      </c>
      <c r="E76" s="21" t="s">
        <v>104</v>
      </c>
      <c r="F76" s="22" t="n">
        <v>1895272</v>
      </c>
      <c r="G76" s="22" t="n">
        <v>1237177</v>
      </c>
      <c r="H76" s="22" t="n">
        <v>610056</v>
      </c>
      <c r="I76" s="22" t="n">
        <v>492273</v>
      </c>
      <c r="J76" s="22" t="n">
        <v>358045</v>
      </c>
      <c r="K76" s="22" t="n">
        <v>1613660</v>
      </c>
      <c r="L76" s="22" t="n">
        <v>281612</v>
      </c>
      <c r="M76" s="22" t="n">
        <v>960146</v>
      </c>
      <c r="N76" s="22" t="n">
        <v>277031</v>
      </c>
      <c r="O76" s="22" t="n">
        <v>989</v>
      </c>
      <c r="P76" s="23" t="n">
        <v>0</v>
      </c>
      <c r="Q76" s="23" t="n">
        <v>0</v>
      </c>
      <c r="R76" s="24" t="n">
        <f aca="false">K76/(K76+L76)</f>
        <v>0.851413411900772</v>
      </c>
      <c r="S76" s="24" t="n">
        <f aca="false">M76/(M76+N76)</f>
        <v>0.776078119783992</v>
      </c>
      <c r="T76" s="24" t="n">
        <f aca="false">J76/G76</f>
        <v>0.289404830513338</v>
      </c>
      <c r="U76" s="21" t="n">
        <f aca="false">IF(AND(A76&gt;=Seasonality!$C$4,A76&lt;=Seasonality!$C$5),1,0)</f>
        <v>0</v>
      </c>
    </row>
    <row r="77" customFormat="false" ht="15" hidden="false" customHeight="false" outlineLevel="0" collapsed="false">
      <c r="A77" s="20" t="n">
        <v>42767</v>
      </c>
      <c r="B77" s="21" t="s">
        <v>180</v>
      </c>
      <c r="C77" s="21" t="s">
        <v>44</v>
      </c>
      <c r="D77" s="21" t="s">
        <v>78</v>
      </c>
      <c r="E77" s="21" t="s">
        <v>104</v>
      </c>
      <c r="F77" s="22" t="n">
        <v>1735619</v>
      </c>
      <c r="G77" s="22" t="n">
        <v>1127909</v>
      </c>
      <c r="H77" s="22" t="n">
        <v>561977</v>
      </c>
      <c r="I77" s="22" t="n">
        <v>447688</v>
      </c>
      <c r="J77" s="22" t="n">
        <v>322294</v>
      </c>
      <c r="K77" s="22" t="n">
        <v>1519203</v>
      </c>
      <c r="L77" s="22" t="n">
        <v>216416</v>
      </c>
      <c r="M77" s="22" t="n">
        <v>915403</v>
      </c>
      <c r="N77" s="22" t="n">
        <v>212506</v>
      </c>
      <c r="O77" s="22" t="n">
        <v>338</v>
      </c>
      <c r="P77" s="23" t="n">
        <v>0</v>
      </c>
      <c r="Q77" s="23" t="n">
        <v>0</v>
      </c>
      <c r="R77" s="24" t="n">
        <f aca="false">K77/(K77+L77)</f>
        <v>0.875309039599129</v>
      </c>
      <c r="S77" s="24" t="n">
        <f aca="false">M77/(M77+N77)</f>
        <v>0.811592956523975</v>
      </c>
      <c r="T77" s="24" t="n">
        <f aca="false">J77/G77</f>
        <v>0.285744683303352</v>
      </c>
      <c r="U77" s="21" t="n">
        <f aca="false">IF(AND(A77&gt;=Seasonality!$C$4,A77&lt;=Seasonality!$C$5),1,0)</f>
        <v>0</v>
      </c>
    </row>
    <row r="78" customFormat="false" ht="15" hidden="false" customHeight="false" outlineLevel="0" collapsed="false">
      <c r="A78" s="20" t="n">
        <v>42795</v>
      </c>
      <c r="B78" s="21" t="s">
        <v>181</v>
      </c>
      <c r="C78" s="21" t="s">
        <v>44</v>
      </c>
      <c r="D78" s="21" t="s">
        <v>79</v>
      </c>
      <c r="E78" s="21" t="s">
        <v>108</v>
      </c>
      <c r="F78" s="22" t="n">
        <v>2015834</v>
      </c>
      <c r="G78" s="22" t="n">
        <v>1309507</v>
      </c>
      <c r="H78" s="22" t="n">
        <v>652972</v>
      </c>
      <c r="I78" s="22" t="n">
        <v>509805</v>
      </c>
      <c r="J78" s="22" t="n">
        <v>365117</v>
      </c>
      <c r="K78" s="22" t="n">
        <v>1814442</v>
      </c>
      <c r="L78" s="22" t="n">
        <v>201392</v>
      </c>
      <c r="M78" s="22" t="n">
        <v>1113881</v>
      </c>
      <c r="N78" s="22" t="n">
        <v>195626</v>
      </c>
      <c r="O78" s="22" t="n">
        <v>270</v>
      </c>
      <c r="P78" s="23" t="n">
        <v>0</v>
      </c>
      <c r="Q78" s="23" t="n">
        <v>0</v>
      </c>
      <c r="R78" s="24" t="n">
        <f aca="false">K78/(K78+L78)</f>
        <v>0.900094948294354</v>
      </c>
      <c r="S78" s="24" t="n">
        <f aca="false">M78/(M78+N78)</f>
        <v>0.850610955115169</v>
      </c>
      <c r="T78" s="24" t="n">
        <f aca="false">J78/G78</f>
        <v>0.278820197219259</v>
      </c>
      <c r="U78" s="21" t="n">
        <f aca="false">IF(AND(A78&gt;=Seasonality!$C$4,A78&lt;=Seasonality!$C$5),1,0)</f>
        <v>0</v>
      </c>
    </row>
    <row r="79" customFormat="false" ht="15" hidden="false" customHeight="false" outlineLevel="0" collapsed="false">
      <c r="A79" s="20" t="n">
        <v>42826</v>
      </c>
      <c r="B79" s="21" t="s">
        <v>182</v>
      </c>
      <c r="C79" s="21" t="s">
        <v>45</v>
      </c>
      <c r="D79" s="21" t="s">
        <v>80</v>
      </c>
      <c r="E79" s="21" t="s">
        <v>108</v>
      </c>
      <c r="F79" s="22" t="n">
        <v>1949762</v>
      </c>
      <c r="G79" s="22" t="n">
        <v>1253743</v>
      </c>
      <c r="H79" s="22" t="n">
        <v>648469</v>
      </c>
      <c r="I79" s="22" t="n">
        <v>471328</v>
      </c>
      <c r="J79" s="22" t="n">
        <v>347805</v>
      </c>
      <c r="K79" s="22" t="n">
        <v>1764832</v>
      </c>
      <c r="L79" s="22" t="n">
        <v>184930</v>
      </c>
      <c r="M79" s="22" t="n">
        <v>1074366</v>
      </c>
      <c r="N79" s="22" t="n">
        <v>179377</v>
      </c>
      <c r="O79" s="22" t="n">
        <v>143</v>
      </c>
      <c r="P79" s="23" t="n">
        <v>0</v>
      </c>
      <c r="Q79" s="23" t="n">
        <v>0</v>
      </c>
      <c r="R79" s="24" t="n">
        <f aca="false">K79/(K79+L79)</f>
        <v>0.905152526308339</v>
      </c>
      <c r="S79" s="24" t="n">
        <f aca="false">M79/(M79+N79)</f>
        <v>0.856926818335177</v>
      </c>
      <c r="T79" s="24" t="n">
        <f aca="false">J79/G79</f>
        <v>0.277413313573835</v>
      </c>
      <c r="U79" s="21" t="n">
        <f aca="false">IF(AND(A79&gt;=Seasonality!$C$4,A79&lt;=Seasonality!$C$5),1,0)</f>
        <v>0</v>
      </c>
    </row>
    <row r="80" customFormat="false" ht="15" hidden="false" customHeight="false" outlineLevel="0" collapsed="false">
      <c r="A80" s="20" t="n">
        <v>42856</v>
      </c>
      <c r="B80" s="21" t="s">
        <v>183</v>
      </c>
      <c r="C80" s="21" t="s">
        <v>45</v>
      </c>
      <c r="D80" s="21" t="s">
        <v>81</v>
      </c>
      <c r="E80" s="21" t="s">
        <v>108</v>
      </c>
      <c r="F80" s="22" t="n">
        <v>2066789</v>
      </c>
      <c r="G80" s="22" t="n">
        <v>1347297</v>
      </c>
      <c r="H80" s="22" t="n">
        <v>668455</v>
      </c>
      <c r="I80" s="22" t="n">
        <v>505843</v>
      </c>
      <c r="J80" s="22" t="n">
        <v>369644</v>
      </c>
      <c r="K80" s="22" t="n">
        <v>1853917</v>
      </c>
      <c r="L80" s="22" t="n">
        <v>212872</v>
      </c>
      <c r="M80" s="22" t="n">
        <v>1140074</v>
      </c>
      <c r="N80" s="22" t="n">
        <v>207223</v>
      </c>
      <c r="O80" s="22" t="n">
        <v>115</v>
      </c>
      <c r="P80" s="23" t="n">
        <v>0</v>
      </c>
      <c r="Q80" s="23" t="n">
        <v>0</v>
      </c>
      <c r="R80" s="24" t="n">
        <f aca="false">K80/(K80+L80)</f>
        <v>0.897003516082193</v>
      </c>
      <c r="S80" s="24" t="n">
        <f aca="false">M80/(M80+N80)</f>
        <v>0.846193526742804</v>
      </c>
      <c r="T80" s="24" t="n">
        <f aca="false">J80/G80</f>
        <v>0.274359699457506</v>
      </c>
      <c r="U80" s="21" t="n">
        <f aca="false">IF(AND(A80&gt;=Seasonality!$C$4,A80&lt;=Seasonality!$C$5),1,0)</f>
        <v>0</v>
      </c>
    </row>
    <row r="81" customFormat="false" ht="15" hidden="false" customHeight="false" outlineLevel="0" collapsed="false">
      <c r="A81" s="20" t="n">
        <v>42887</v>
      </c>
      <c r="B81" s="21" t="s">
        <v>184</v>
      </c>
      <c r="C81" s="21" t="s">
        <v>45</v>
      </c>
      <c r="D81" s="21" t="s">
        <v>82</v>
      </c>
      <c r="E81" s="21" t="s">
        <v>112</v>
      </c>
      <c r="F81" s="22" t="n">
        <v>1994056</v>
      </c>
      <c r="G81" s="22" t="n">
        <v>1296877</v>
      </c>
      <c r="H81" s="22" t="n">
        <v>646567</v>
      </c>
      <c r="I81" s="22" t="n">
        <v>491206</v>
      </c>
      <c r="J81" s="22" t="n">
        <v>356052</v>
      </c>
      <c r="K81" s="22" t="n">
        <v>1809111</v>
      </c>
      <c r="L81" s="22" t="n">
        <v>184945</v>
      </c>
      <c r="M81" s="22" t="n">
        <v>1116618</v>
      </c>
      <c r="N81" s="22" t="n">
        <v>180259</v>
      </c>
      <c r="O81" s="22" t="n">
        <v>55</v>
      </c>
      <c r="P81" s="23" t="n">
        <v>0</v>
      </c>
      <c r="Q81" s="23" t="n">
        <v>0</v>
      </c>
      <c r="R81" s="24" t="n">
        <f aca="false">K81/(K81+L81)</f>
        <v>0.907251852505647</v>
      </c>
      <c r="S81" s="24" t="n">
        <f aca="false">M81/(M81+N81)</f>
        <v>0.861005322786972</v>
      </c>
      <c r="T81" s="24" t="n">
        <f aca="false">J81/G81</f>
        <v>0.274545697086154</v>
      </c>
      <c r="U81" s="21" t="n">
        <f aca="false">IF(AND(A81&gt;=Seasonality!$C$4,A81&lt;=Seasonality!$C$5),1,0)</f>
        <v>0</v>
      </c>
    </row>
    <row r="82" customFormat="false" ht="15" hidden="false" customHeight="false" outlineLevel="0" collapsed="false">
      <c r="A82" s="20" t="n">
        <v>42917</v>
      </c>
      <c r="B82" s="21" t="s">
        <v>185</v>
      </c>
      <c r="C82" s="21" t="s">
        <v>45</v>
      </c>
      <c r="D82" s="21" t="s">
        <v>83</v>
      </c>
      <c r="E82" s="21" t="s">
        <v>112</v>
      </c>
      <c r="F82" s="22" t="n">
        <v>2073944</v>
      </c>
      <c r="G82" s="22" t="n">
        <v>1348648</v>
      </c>
      <c r="H82" s="22" t="n">
        <v>674927</v>
      </c>
      <c r="I82" s="22" t="n">
        <v>499259</v>
      </c>
      <c r="J82" s="22" t="n">
        <v>365685</v>
      </c>
      <c r="K82" s="22" t="n">
        <v>1873763</v>
      </c>
      <c r="L82" s="22" t="n">
        <v>200181</v>
      </c>
      <c r="M82" s="22" t="n">
        <v>1153599</v>
      </c>
      <c r="N82" s="22" t="n">
        <v>195049</v>
      </c>
      <c r="O82" s="22" t="n">
        <v>74</v>
      </c>
      <c r="P82" s="23" t="n">
        <v>0</v>
      </c>
      <c r="Q82" s="23" t="n">
        <v>0</v>
      </c>
      <c r="R82" s="24" t="n">
        <f aca="false">K82/(K82+L82)</f>
        <v>0.903478107412736</v>
      </c>
      <c r="S82" s="24" t="n">
        <f aca="false">M82/(M82+N82)</f>
        <v>0.855374419418558</v>
      </c>
      <c r="T82" s="24" t="n">
        <f aca="false">J82/G82</f>
        <v>0.271149328809296</v>
      </c>
      <c r="U82" s="21" t="n">
        <f aca="false">IF(AND(A82&gt;=Seasonality!$C$4,A82&lt;=Seasonality!$C$5),1,0)</f>
        <v>0</v>
      </c>
    </row>
    <row r="83" customFormat="false" ht="15" hidden="false" customHeight="false" outlineLevel="0" collapsed="false">
      <c r="A83" s="20" t="n">
        <v>42948</v>
      </c>
      <c r="B83" s="21" t="s">
        <v>186</v>
      </c>
      <c r="C83" s="21" t="s">
        <v>45</v>
      </c>
      <c r="D83" s="21" t="s">
        <v>84</v>
      </c>
      <c r="E83" s="21" t="s">
        <v>112</v>
      </c>
      <c r="F83" s="22" t="n">
        <v>1924663</v>
      </c>
      <c r="G83" s="22" t="n">
        <v>1256655</v>
      </c>
      <c r="H83" s="22" t="n">
        <v>620096</v>
      </c>
      <c r="I83" s="22" t="n">
        <v>486074</v>
      </c>
      <c r="J83" s="22" t="n">
        <v>356405</v>
      </c>
      <c r="K83" s="22" t="n">
        <v>1737956</v>
      </c>
      <c r="L83" s="22" t="n">
        <v>186707</v>
      </c>
      <c r="M83" s="22" t="n">
        <v>1073662</v>
      </c>
      <c r="N83" s="22" t="n">
        <v>182993</v>
      </c>
      <c r="O83" s="22" t="n">
        <v>50</v>
      </c>
      <c r="P83" s="23" t="n">
        <v>0</v>
      </c>
      <c r="Q83" s="23" t="n">
        <v>0</v>
      </c>
      <c r="R83" s="24" t="n">
        <f aca="false">K83/(K83+L83)</f>
        <v>0.902992368014556</v>
      </c>
      <c r="S83" s="24" t="n">
        <f aca="false">M83/(M83+N83)</f>
        <v>0.854380876215031</v>
      </c>
      <c r="T83" s="24" t="n">
        <f aca="false">J83/G83</f>
        <v>0.283614038857125</v>
      </c>
      <c r="U83" s="21" t="n">
        <f aca="false">IF(AND(A83&gt;=Seasonality!$C$4,A83&lt;=Seasonality!$C$5),1,0)</f>
        <v>0</v>
      </c>
    </row>
    <row r="84" customFormat="false" ht="15" hidden="false" customHeight="false" outlineLevel="0" collapsed="false">
      <c r="A84" s="20" t="n">
        <v>42979</v>
      </c>
      <c r="B84" s="21" t="s">
        <v>187</v>
      </c>
      <c r="C84" s="21" t="s">
        <v>45</v>
      </c>
      <c r="D84" s="21" t="s">
        <v>85</v>
      </c>
      <c r="E84" s="21" t="s">
        <v>102</v>
      </c>
      <c r="F84" s="22" t="n">
        <v>1925961</v>
      </c>
      <c r="G84" s="22" t="n">
        <v>1263957</v>
      </c>
      <c r="H84" s="22" t="n">
        <v>614754</v>
      </c>
      <c r="I84" s="22" t="n">
        <v>486799</v>
      </c>
      <c r="J84" s="22" t="n">
        <v>356160</v>
      </c>
      <c r="K84" s="22" t="n">
        <v>1726934</v>
      </c>
      <c r="L84" s="22" t="n">
        <v>199027</v>
      </c>
      <c r="M84" s="22" t="n">
        <v>1068942</v>
      </c>
      <c r="N84" s="22" t="n">
        <v>195015</v>
      </c>
      <c r="O84" s="22" t="n">
        <v>77</v>
      </c>
      <c r="P84" s="23" t="n">
        <v>0</v>
      </c>
      <c r="Q84" s="23" t="n">
        <v>0</v>
      </c>
      <c r="R84" s="24" t="n">
        <f aca="false">K84/(K84+L84)</f>
        <v>0.89666093965558</v>
      </c>
      <c r="S84" s="24" t="n">
        <f aca="false">M84/(M84+N84)</f>
        <v>0.845710732248012</v>
      </c>
      <c r="T84" s="24" t="n">
        <f aca="false">J84/G84</f>
        <v>0.281781737828107</v>
      </c>
      <c r="U84" s="21" t="n">
        <f aca="false">IF(AND(A84&gt;=Seasonality!$C$4,A84&lt;=Seasonality!$C$5),1,0)</f>
        <v>0</v>
      </c>
    </row>
    <row r="85" customFormat="false" ht="15" hidden="false" customHeight="false" outlineLevel="0" collapsed="false">
      <c r="A85" s="20" t="n">
        <v>43009</v>
      </c>
      <c r="B85" s="21" t="s">
        <v>188</v>
      </c>
      <c r="C85" s="21" t="s">
        <v>45</v>
      </c>
      <c r="D85" s="21" t="s">
        <v>86</v>
      </c>
      <c r="E85" s="21" t="s">
        <v>102</v>
      </c>
      <c r="F85" s="22" t="n">
        <v>2044137</v>
      </c>
      <c r="G85" s="22" t="n">
        <v>1325211</v>
      </c>
      <c r="H85" s="22" t="n">
        <v>668728</v>
      </c>
      <c r="I85" s="22" t="n">
        <v>513217</v>
      </c>
      <c r="J85" s="22" t="n">
        <v>373673</v>
      </c>
      <c r="K85" s="22" t="n">
        <v>1838535</v>
      </c>
      <c r="L85" s="22" t="n">
        <v>205602</v>
      </c>
      <c r="M85" s="22" t="n">
        <v>1124093</v>
      </c>
      <c r="N85" s="22" t="n">
        <v>201118</v>
      </c>
      <c r="O85" s="22" t="n">
        <v>57</v>
      </c>
      <c r="P85" s="23" t="n">
        <v>0</v>
      </c>
      <c r="Q85" s="23" t="n">
        <v>0</v>
      </c>
      <c r="R85" s="24" t="n">
        <f aca="false">K85/(K85+L85)</f>
        <v>0.899418678885026</v>
      </c>
      <c r="S85" s="24" t="n">
        <f aca="false">M85/(M85+N85)</f>
        <v>0.848236997730927</v>
      </c>
      <c r="T85" s="24" t="n">
        <f aca="false">J85/G85</f>
        <v>0.281972455707053</v>
      </c>
      <c r="U85" s="21" t="n">
        <f aca="false">IF(AND(A85&gt;=Seasonality!$C$4,A85&lt;=Seasonality!$C$5),1,0)</f>
        <v>0</v>
      </c>
    </row>
    <row r="86" customFormat="false" ht="15" hidden="false" customHeight="false" outlineLevel="0" collapsed="false">
      <c r="A86" s="20" t="n">
        <v>43040</v>
      </c>
      <c r="B86" s="21" t="s">
        <v>189</v>
      </c>
      <c r="C86" s="21" t="s">
        <v>45</v>
      </c>
      <c r="D86" s="21" t="s">
        <v>87</v>
      </c>
      <c r="E86" s="21" t="s">
        <v>102</v>
      </c>
      <c r="F86" s="22" t="n">
        <v>1976971</v>
      </c>
      <c r="G86" s="22" t="n">
        <v>1281913</v>
      </c>
      <c r="H86" s="22" t="n">
        <v>646835</v>
      </c>
      <c r="I86" s="22" t="n">
        <v>513019</v>
      </c>
      <c r="J86" s="22" t="n">
        <v>372551</v>
      </c>
      <c r="K86" s="22" t="n">
        <v>1754889</v>
      </c>
      <c r="L86" s="22" t="n">
        <v>222082</v>
      </c>
      <c r="M86" s="22" t="n">
        <v>1064496</v>
      </c>
      <c r="N86" s="22" t="n">
        <v>217417</v>
      </c>
      <c r="O86" s="22" t="n">
        <v>107</v>
      </c>
      <c r="P86" s="23" t="n">
        <v>0</v>
      </c>
      <c r="Q86" s="23" t="n">
        <v>0</v>
      </c>
      <c r="R86" s="24" t="n">
        <f aca="false">K86/(K86+L86)</f>
        <v>0.887665524683974</v>
      </c>
      <c r="S86" s="24" t="n">
        <f aca="false">M86/(M86+N86)</f>
        <v>0.830396446560726</v>
      </c>
      <c r="T86" s="24" t="n">
        <f aca="false">J86/G86</f>
        <v>0.290621126394693</v>
      </c>
      <c r="U86" s="21" t="n">
        <f aca="false">IF(AND(A86&gt;=Seasonality!$C$4,A86&lt;=Seasonality!$C$5),1,0)</f>
        <v>0</v>
      </c>
    </row>
    <row r="87" customFormat="false" ht="15" hidden="false" customHeight="false" outlineLevel="0" collapsed="false">
      <c r="A87" s="20" t="n">
        <v>43070</v>
      </c>
      <c r="B87" s="21" t="s">
        <v>190</v>
      </c>
      <c r="C87" s="21" t="s">
        <v>45</v>
      </c>
      <c r="D87" s="21" t="s">
        <v>88</v>
      </c>
      <c r="E87" s="21" t="s">
        <v>104</v>
      </c>
      <c r="F87" s="22" t="n">
        <v>2003954</v>
      </c>
      <c r="G87" s="22" t="n">
        <v>1289587</v>
      </c>
      <c r="H87" s="22" t="n">
        <v>672209</v>
      </c>
      <c r="I87" s="22" t="n">
        <v>520803</v>
      </c>
      <c r="J87" s="22" t="n">
        <v>387919</v>
      </c>
      <c r="K87" s="22" t="n">
        <v>1703061</v>
      </c>
      <c r="L87" s="22" t="n">
        <v>300893</v>
      </c>
      <c r="M87" s="22" t="n">
        <v>996727</v>
      </c>
      <c r="N87" s="22" t="n">
        <v>292860</v>
      </c>
      <c r="O87" s="22" t="n">
        <v>517</v>
      </c>
      <c r="P87" s="23" t="n">
        <v>0</v>
      </c>
      <c r="Q87" s="23" t="n">
        <v>0</v>
      </c>
      <c r="R87" s="24" t="n">
        <f aca="false">K87/(K87+L87)</f>
        <v>0.849850345866222</v>
      </c>
      <c r="S87" s="24" t="n">
        <f aca="false">M87/(M87+N87)</f>
        <v>0.772904038269617</v>
      </c>
      <c r="T87" s="24" t="n">
        <f aca="false">J87/G87</f>
        <v>0.300808708524512</v>
      </c>
      <c r="U87" s="21" t="n">
        <f aca="false">IF(AND(A87&gt;=Seasonality!$C$4,A87&lt;=Seasonality!$C$5),1,0)</f>
        <v>0</v>
      </c>
    </row>
    <row r="88" customFormat="false" ht="15" hidden="false" customHeight="false" outlineLevel="0" collapsed="false">
      <c r="A88" s="20" t="n">
        <v>43101</v>
      </c>
      <c r="B88" s="21" t="s">
        <v>191</v>
      </c>
      <c r="C88" s="21" t="s">
        <v>45</v>
      </c>
      <c r="D88" s="21" t="s">
        <v>77</v>
      </c>
      <c r="E88" s="21" t="s">
        <v>104</v>
      </c>
      <c r="F88" s="22" t="n">
        <v>2000086</v>
      </c>
      <c r="G88" s="22" t="n">
        <v>1257026</v>
      </c>
      <c r="H88" s="22" t="n">
        <v>693073</v>
      </c>
      <c r="I88" s="22" t="n">
        <v>526045</v>
      </c>
      <c r="J88" s="22" t="n">
        <v>383879</v>
      </c>
      <c r="K88" s="22" t="n">
        <v>1706057</v>
      </c>
      <c r="L88" s="22" t="n">
        <v>294029</v>
      </c>
      <c r="M88" s="22" t="n">
        <v>969985</v>
      </c>
      <c r="N88" s="22" t="n">
        <v>287041</v>
      </c>
      <c r="O88" s="22" t="n">
        <v>1054</v>
      </c>
      <c r="P88" s="23" t="n">
        <v>0</v>
      </c>
      <c r="Q88" s="23" t="n">
        <v>0</v>
      </c>
      <c r="R88" s="24" t="n">
        <f aca="false">K88/(K88+L88)</f>
        <v>0.852991821351682</v>
      </c>
      <c r="S88" s="24" t="n">
        <f aca="false">M88/(M88+N88)</f>
        <v>0.771650705713327</v>
      </c>
      <c r="T88" s="24" t="n">
        <f aca="false">J88/G88</f>
        <v>0.305386682534808</v>
      </c>
      <c r="U88" s="21" t="n">
        <f aca="false">IF(AND(A88&gt;=Seasonality!$C$4,A88&lt;=Seasonality!$C$5),1,0)</f>
        <v>0</v>
      </c>
    </row>
    <row r="89" customFormat="false" ht="15" hidden="false" customHeight="false" outlineLevel="0" collapsed="false">
      <c r="A89" s="20" t="n">
        <v>43132</v>
      </c>
      <c r="B89" s="21" t="s">
        <v>192</v>
      </c>
      <c r="C89" s="21" t="s">
        <v>45</v>
      </c>
      <c r="D89" s="21" t="s">
        <v>78</v>
      </c>
      <c r="E89" s="21" t="s">
        <v>104</v>
      </c>
      <c r="F89" s="22" t="n">
        <v>1820012</v>
      </c>
      <c r="G89" s="22" t="n">
        <v>1151757</v>
      </c>
      <c r="H89" s="22" t="n">
        <v>626353</v>
      </c>
      <c r="I89" s="22" t="n">
        <v>476867</v>
      </c>
      <c r="J89" s="22" t="n">
        <v>347470</v>
      </c>
      <c r="K89" s="22" t="n">
        <v>1547825</v>
      </c>
      <c r="L89" s="22" t="n">
        <v>272187</v>
      </c>
      <c r="M89" s="22" t="n">
        <v>885797</v>
      </c>
      <c r="N89" s="22" t="n">
        <v>265960</v>
      </c>
      <c r="O89" s="22" t="n">
        <v>369</v>
      </c>
      <c r="P89" s="23" t="n">
        <v>0</v>
      </c>
      <c r="Q89" s="23" t="n">
        <v>0</v>
      </c>
      <c r="R89" s="24" t="n">
        <f aca="false">K89/(K89+L89)</f>
        <v>0.850447689355894</v>
      </c>
      <c r="S89" s="24" t="n">
        <f aca="false">M89/(M89+N89)</f>
        <v>0.76908323543942</v>
      </c>
      <c r="T89" s="24" t="n">
        <f aca="false">J89/G89</f>
        <v>0.301686900969562</v>
      </c>
      <c r="U89" s="21" t="n">
        <f aca="false">IF(AND(A89&gt;=Seasonality!$C$4,A89&lt;=Seasonality!$C$5),1,0)</f>
        <v>0</v>
      </c>
    </row>
    <row r="90" customFormat="false" ht="15" hidden="false" customHeight="false" outlineLevel="0" collapsed="false">
      <c r="A90" s="20" t="n">
        <v>43160</v>
      </c>
      <c r="B90" s="21" t="s">
        <v>193</v>
      </c>
      <c r="C90" s="21" t="s">
        <v>45</v>
      </c>
      <c r="D90" s="21" t="s">
        <v>79</v>
      </c>
      <c r="E90" s="21" t="s">
        <v>108</v>
      </c>
      <c r="F90" s="22" t="n">
        <v>2049785</v>
      </c>
      <c r="G90" s="22" t="n">
        <v>1299796</v>
      </c>
      <c r="H90" s="22" t="n">
        <v>703334</v>
      </c>
      <c r="I90" s="22" t="n">
        <v>526066</v>
      </c>
      <c r="J90" s="22" t="n">
        <v>385196</v>
      </c>
      <c r="K90" s="22" t="n">
        <v>1734553</v>
      </c>
      <c r="L90" s="22" t="n">
        <v>315232</v>
      </c>
      <c r="M90" s="22" t="n">
        <v>993095</v>
      </c>
      <c r="N90" s="22" t="n">
        <v>306701</v>
      </c>
      <c r="O90" s="22" t="n">
        <v>853</v>
      </c>
      <c r="P90" s="23" t="n">
        <v>0</v>
      </c>
      <c r="Q90" s="23" t="n">
        <v>0</v>
      </c>
      <c r="R90" s="24" t="n">
        <f aca="false">K90/(K90+L90)</f>
        <v>0.846212163714731</v>
      </c>
      <c r="S90" s="24" t="n">
        <f aca="false">M90/(M90+N90)</f>
        <v>0.764039126139794</v>
      </c>
      <c r="T90" s="24" t="n">
        <f aca="false">J90/G90</f>
        <v>0.296351119714171</v>
      </c>
      <c r="U90" s="21" t="n">
        <f aca="false">IF(AND(A90&gt;=Seasonality!$C$4,A90&lt;=Seasonality!$C$5),1,0)</f>
        <v>0</v>
      </c>
    </row>
    <row r="91" customFormat="false" ht="15" hidden="false" customHeight="false" outlineLevel="0" collapsed="false">
      <c r="A91" s="20" t="n">
        <v>43191</v>
      </c>
      <c r="B91" s="21" t="s">
        <v>194</v>
      </c>
      <c r="C91" s="21" t="s">
        <v>46</v>
      </c>
      <c r="D91" s="21" t="s">
        <v>80</v>
      </c>
      <c r="E91" s="21" t="s">
        <v>108</v>
      </c>
      <c r="F91" s="22" t="n">
        <v>1984369</v>
      </c>
      <c r="G91" s="22" t="n">
        <v>1246348</v>
      </c>
      <c r="H91" s="22" t="n">
        <v>690765</v>
      </c>
      <c r="I91" s="22" t="n">
        <v>503393</v>
      </c>
      <c r="J91" s="22" t="n">
        <v>370142</v>
      </c>
      <c r="K91" s="22" t="n">
        <v>1757605</v>
      </c>
      <c r="L91" s="22" t="n">
        <v>226764</v>
      </c>
      <c r="M91" s="22" t="n">
        <v>1025362</v>
      </c>
      <c r="N91" s="22" t="n">
        <v>220986</v>
      </c>
      <c r="O91" s="22" t="n">
        <v>356</v>
      </c>
      <c r="P91" s="23" t="n">
        <v>0</v>
      </c>
      <c r="Q91" s="23" t="n">
        <v>0</v>
      </c>
      <c r="R91" s="24" t="n">
        <f aca="false">K91/(K91+L91)</f>
        <v>0.885724882821693</v>
      </c>
      <c r="S91" s="24" t="n">
        <f aca="false">M91/(M91+N91)</f>
        <v>0.822693180395845</v>
      </c>
      <c r="T91" s="24" t="n">
        <f aca="false">J91/G91</f>
        <v>0.296981260450532</v>
      </c>
      <c r="U91" s="21" t="n">
        <f aca="false">IF(AND(A91&gt;=Seasonality!$C$4,A91&lt;=Seasonality!$C$5),1,0)</f>
        <v>0</v>
      </c>
    </row>
    <row r="92" customFormat="false" ht="15" hidden="false" customHeight="false" outlineLevel="0" collapsed="false">
      <c r="A92" s="20" t="n">
        <v>43221</v>
      </c>
      <c r="B92" s="21" t="s">
        <v>195</v>
      </c>
      <c r="C92" s="21" t="s">
        <v>46</v>
      </c>
      <c r="D92" s="21" t="s">
        <v>81</v>
      </c>
      <c r="E92" s="21" t="s">
        <v>108</v>
      </c>
      <c r="F92" s="22" t="n">
        <v>2164458</v>
      </c>
      <c r="G92" s="22" t="n">
        <v>1354711</v>
      </c>
      <c r="H92" s="22" t="n">
        <v>760528</v>
      </c>
      <c r="I92" s="22" t="n">
        <v>533457</v>
      </c>
      <c r="J92" s="22" t="n">
        <v>392433</v>
      </c>
      <c r="K92" s="22" t="n">
        <v>1956456</v>
      </c>
      <c r="L92" s="22" t="n">
        <v>208002</v>
      </c>
      <c r="M92" s="22" t="n">
        <v>1153259</v>
      </c>
      <c r="N92" s="22" t="n">
        <v>201452</v>
      </c>
      <c r="O92" s="22" t="n">
        <v>106</v>
      </c>
      <c r="P92" s="23" t="n">
        <v>0</v>
      </c>
      <c r="Q92" s="23" t="n">
        <v>0</v>
      </c>
      <c r="R92" s="24" t="n">
        <f aca="false">K92/(K92+L92)</f>
        <v>0.903901115198355</v>
      </c>
      <c r="S92" s="24" t="n">
        <f aca="false">M92/(M92+N92)</f>
        <v>0.851295220899513</v>
      </c>
      <c r="T92" s="24" t="n">
        <f aca="false">J92/G92</f>
        <v>0.289680234382093</v>
      </c>
      <c r="U92" s="21" t="n">
        <f aca="false">IF(AND(A92&gt;=Seasonality!$C$4,A92&lt;=Seasonality!$C$5),1,0)</f>
        <v>0</v>
      </c>
    </row>
    <row r="93" customFormat="false" ht="15" hidden="false" customHeight="false" outlineLevel="0" collapsed="false">
      <c r="A93" s="20" t="n">
        <v>43252</v>
      </c>
      <c r="B93" s="21" t="s">
        <v>196</v>
      </c>
      <c r="C93" s="21" t="s">
        <v>46</v>
      </c>
      <c r="D93" s="21" t="s">
        <v>82</v>
      </c>
      <c r="E93" s="21" t="s">
        <v>112</v>
      </c>
      <c r="F93" s="22" t="n">
        <v>2093942</v>
      </c>
      <c r="G93" s="22" t="n">
        <v>1306739</v>
      </c>
      <c r="H93" s="22" t="n">
        <v>737568</v>
      </c>
      <c r="I93" s="22" t="n">
        <v>513254</v>
      </c>
      <c r="J93" s="22" t="n">
        <v>376782</v>
      </c>
      <c r="K93" s="22" t="n">
        <v>1900524</v>
      </c>
      <c r="L93" s="22" t="n">
        <v>193418</v>
      </c>
      <c r="M93" s="22" t="n">
        <v>1118941</v>
      </c>
      <c r="N93" s="22" t="n">
        <v>187798</v>
      </c>
      <c r="O93" s="22" t="n">
        <v>99</v>
      </c>
      <c r="P93" s="23" t="n">
        <v>0</v>
      </c>
      <c r="Q93" s="23" t="n">
        <v>0</v>
      </c>
      <c r="R93" s="24" t="n">
        <f aca="false">K93/(K93+L93)</f>
        <v>0.907629724223498</v>
      </c>
      <c r="S93" s="24" t="n">
        <f aca="false">M93/(M93+N93)</f>
        <v>0.856284996468308</v>
      </c>
      <c r="T93" s="24" t="n">
        <f aca="false">J93/G93</f>
        <v>0.28833760988231</v>
      </c>
      <c r="U93" s="21" t="n">
        <f aca="false">IF(AND(A93&gt;=Seasonality!$C$4,A93&lt;=Seasonality!$C$5),1,0)</f>
        <v>0</v>
      </c>
    </row>
    <row r="94" customFormat="false" ht="15" hidden="false" customHeight="false" outlineLevel="0" collapsed="false">
      <c r="A94" s="20" t="n">
        <v>43282</v>
      </c>
      <c r="B94" s="21" t="s">
        <v>197</v>
      </c>
      <c r="C94" s="21" t="s">
        <v>46</v>
      </c>
      <c r="D94" s="21" t="s">
        <v>83</v>
      </c>
      <c r="E94" s="21" t="s">
        <v>112</v>
      </c>
      <c r="F94" s="22" t="n">
        <v>2179896</v>
      </c>
      <c r="G94" s="22" t="n">
        <v>1365859</v>
      </c>
      <c r="H94" s="22" t="n">
        <v>764191</v>
      </c>
      <c r="I94" s="22" t="n">
        <v>529932</v>
      </c>
      <c r="J94" s="22" t="n">
        <v>390294</v>
      </c>
      <c r="K94" s="22" t="n">
        <v>1947072</v>
      </c>
      <c r="L94" s="22" t="n">
        <v>232824</v>
      </c>
      <c r="M94" s="22" t="n">
        <v>1139867</v>
      </c>
      <c r="N94" s="22" t="n">
        <v>225992</v>
      </c>
      <c r="O94" s="22" t="n">
        <v>149</v>
      </c>
      <c r="P94" s="23" t="n">
        <v>0</v>
      </c>
      <c r="Q94" s="23" t="n">
        <v>0</v>
      </c>
      <c r="R94" s="24" t="n">
        <f aca="false">K94/(K94+L94)</f>
        <v>0.893194904711051</v>
      </c>
      <c r="S94" s="24" t="n">
        <f aca="false">M94/(M94+N94)</f>
        <v>0.834542218486681</v>
      </c>
      <c r="T94" s="24" t="n">
        <f aca="false">J94/G94</f>
        <v>0.285749846799706</v>
      </c>
      <c r="U94" s="21" t="n">
        <f aca="false">IF(AND(A94&gt;=Seasonality!$C$4,A94&lt;=Seasonality!$C$5),1,0)</f>
        <v>0</v>
      </c>
    </row>
    <row r="95" customFormat="false" ht="15" hidden="false" customHeight="false" outlineLevel="0" collapsed="false">
      <c r="A95" s="20" t="n">
        <v>43313</v>
      </c>
      <c r="B95" s="21" t="s">
        <v>198</v>
      </c>
      <c r="C95" s="21" t="s">
        <v>46</v>
      </c>
      <c r="D95" s="21" t="s">
        <v>84</v>
      </c>
      <c r="E95" s="21" t="s">
        <v>112</v>
      </c>
      <c r="F95" s="22" t="n">
        <v>1997854</v>
      </c>
      <c r="G95" s="22" t="n">
        <v>1252767</v>
      </c>
      <c r="H95" s="22" t="n">
        <v>695970</v>
      </c>
      <c r="I95" s="22" t="n">
        <v>517299</v>
      </c>
      <c r="J95" s="22" t="n">
        <v>382863</v>
      </c>
      <c r="K95" s="22" t="n">
        <v>1792615</v>
      </c>
      <c r="L95" s="22" t="n">
        <v>205239</v>
      </c>
      <c r="M95" s="22" t="n">
        <v>1051958</v>
      </c>
      <c r="N95" s="22" t="n">
        <v>200809</v>
      </c>
      <c r="O95" s="22" t="n">
        <v>162</v>
      </c>
      <c r="P95" s="23" t="n">
        <v>0</v>
      </c>
      <c r="Q95" s="23" t="n">
        <v>0</v>
      </c>
      <c r="R95" s="24" t="n">
        <f aca="false">K95/(K95+L95)</f>
        <v>0.897270271000784</v>
      </c>
      <c r="S95" s="24" t="n">
        <f aca="false">M95/(M95+N95)</f>
        <v>0.839707623205273</v>
      </c>
      <c r="T95" s="24" t="n">
        <f aca="false">J95/G95</f>
        <v>0.305613893086264</v>
      </c>
      <c r="U95" s="21" t="n">
        <f aca="false">IF(AND(A95&gt;=Seasonality!$C$4,A95&lt;=Seasonality!$C$5),1,0)</f>
        <v>0</v>
      </c>
    </row>
    <row r="96" customFormat="false" ht="15" hidden="false" customHeight="false" outlineLevel="0" collapsed="false">
      <c r="A96" s="20" t="n">
        <v>43344</v>
      </c>
      <c r="B96" s="21" t="s">
        <v>199</v>
      </c>
      <c r="C96" s="21" t="s">
        <v>46</v>
      </c>
      <c r="D96" s="21" t="s">
        <v>85</v>
      </c>
      <c r="E96" s="21" t="s">
        <v>102</v>
      </c>
      <c r="F96" s="22" t="n">
        <v>2005695</v>
      </c>
      <c r="G96" s="22" t="n">
        <v>1269088</v>
      </c>
      <c r="H96" s="22" t="n">
        <v>688985</v>
      </c>
      <c r="I96" s="22" t="n">
        <v>510322</v>
      </c>
      <c r="J96" s="22" t="n">
        <v>379951</v>
      </c>
      <c r="K96" s="22" t="n">
        <v>1783939</v>
      </c>
      <c r="L96" s="22" t="n">
        <v>221756</v>
      </c>
      <c r="M96" s="22" t="n">
        <v>1052878</v>
      </c>
      <c r="N96" s="22" t="n">
        <v>216210</v>
      </c>
      <c r="O96" s="22" t="n">
        <v>154</v>
      </c>
      <c r="P96" s="23" t="n">
        <v>0</v>
      </c>
      <c r="Q96" s="23" t="n">
        <v>0</v>
      </c>
      <c r="R96" s="24" t="n">
        <f aca="false">K96/(K96+L96)</f>
        <v>0.889436828630475</v>
      </c>
      <c r="S96" s="24" t="n">
        <f aca="false">M96/(M96+N96)</f>
        <v>0.829633563629945</v>
      </c>
      <c r="T96" s="24" t="n">
        <f aca="false">J96/G96</f>
        <v>0.299389010060768</v>
      </c>
      <c r="U96" s="21" t="n">
        <f aca="false">IF(AND(A96&gt;=Seasonality!$C$4,A96&lt;=Seasonality!$C$5),1,0)</f>
        <v>0</v>
      </c>
    </row>
    <row r="97" customFormat="false" ht="15" hidden="false" customHeight="false" outlineLevel="0" collapsed="false">
      <c r="A97" s="20" t="n">
        <v>43374</v>
      </c>
      <c r="B97" s="21" t="s">
        <v>200</v>
      </c>
      <c r="C97" s="21" t="s">
        <v>46</v>
      </c>
      <c r="D97" s="21" t="s">
        <v>86</v>
      </c>
      <c r="E97" s="21" t="s">
        <v>102</v>
      </c>
      <c r="F97" s="22" t="n">
        <v>2079492</v>
      </c>
      <c r="G97" s="22" t="n">
        <v>1320032</v>
      </c>
      <c r="H97" s="22" t="n">
        <v>708178</v>
      </c>
      <c r="I97" s="22" t="n">
        <v>546022</v>
      </c>
      <c r="J97" s="22" t="n">
        <v>398478</v>
      </c>
      <c r="K97" s="22" t="n">
        <v>1850942</v>
      </c>
      <c r="L97" s="22" t="n">
        <v>228550</v>
      </c>
      <c r="M97" s="22" t="n">
        <v>1097167</v>
      </c>
      <c r="N97" s="22" t="n">
        <v>222865</v>
      </c>
      <c r="O97" s="22" t="n">
        <v>214</v>
      </c>
      <c r="P97" s="23" t="n">
        <v>0</v>
      </c>
      <c r="Q97" s="23" t="n">
        <v>0</v>
      </c>
      <c r="R97" s="24" t="n">
        <f aca="false">K97/(K97+L97)</f>
        <v>0.890093349721951</v>
      </c>
      <c r="S97" s="24" t="n">
        <f aca="false">M97/(M97+N97)</f>
        <v>0.831166971709777</v>
      </c>
      <c r="T97" s="24" t="n">
        <f aca="false">J97/G97</f>
        <v>0.301869954667766</v>
      </c>
      <c r="U97" s="21" t="n">
        <f aca="false">IF(AND(A97&gt;=Seasonality!$C$4,A97&lt;=Seasonality!$C$5),1,0)</f>
        <v>0</v>
      </c>
    </row>
    <row r="98" customFormat="false" ht="15" hidden="false" customHeight="false" outlineLevel="0" collapsed="false">
      <c r="A98" s="20" t="n">
        <v>43405</v>
      </c>
      <c r="B98" s="21" t="s">
        <v>201</v>
      </c>
      <c r="C98" s="21" t="s">
        <v>46</v>
      </c>
      <c r="D98" s="21" t="s">
        <v>87</v>
      </c>
      <c r="E98" s="21" t="s">
        <v>102</v>
      </c>
      <c r="F98" s="22" t="n">
        <v>2037847</v>
      </c>
      <c r="G98" s="22" t="n">
        <v>1305353</v>
      </c>
      <c r="H98" s="22" t="n">
        <v>684029</v>
      </c>
      <c r="I98" s="22" t="n">
        <v>545357</v>
      </c>
      <c r="J98" s="22" t="n">
        <v>397128</v>
      </c>
      <c r="K98" s="22" t="n">
        <v>1785245</v>
      </c>
      <c r="L98" s="22" t="n">
        <v>252602</v>
      </c>
      <c r="M98" s="22" t="n">
        <v>1059425</v>
      </c>
      <c r="N98" s="22" t="n">
        <v>245928</v>
      </c>
      <c r="O98" s="22" t="n">
        <v>259</v>
      </c>
      <c r="P98" s="23" t="n">
        <v>0</v>
      </c>
      <c r="Q98" s="23" t="n">
        <v>0</v>
      </c>
      <c r="R98" s="24" t="n">
        <f aca="false">K98/(K98+L98)</f>
        <v>0.876044668711635</v>
      </c>
      <c r="S98" s="24" t="n">
        <f aca="false">M98/(M98+N98)</f>
        <v>0.811600387021748</v>
      </c>
      <c r="T98" s="24" t="n">
        <f aca="false">J98/G98</f>
        <v>0.304230349951316</v>
      </c>
      <c r="U98" s="21" t="n">
        <f aca="false">IF(AND(A98&gt;=Seasonality!$C$4,A98&lt;=Seasonality!$C$5),1,0)</f>
        <v>0</v>
      </c>
    </row>
    <row r="99" customFormat="false" ht="15" hidden="false" customHeight="false" outlineLevel="0" collapsed="false">
      <c r="A99" s="20" t="n">
        <v>43435</v>
      </c>
      <c r="B99" s="21" t="s">
        <v>202</v>
      </c>
      <c r="C99" s="21" t="s">
        <v>46</v>
      </c>
      <c r="D99" s="21" t="s">
        <v>88</v>
      </c>
      <c r="E99" s="21" t="s">
        <v>104</v>
      </c>
      <c r="F99" s="22" t="n">
        <v>2047518</v>
      </c>
      <c r="G99" s="22" t="n">
        <v>1307359</v>
      </c>
      <c r="H99" s="22" t="n">
        <v>697087</v>
      </c>
      <c r="I99" s="22" t="n">
        <v>544903</v>
      </c>
      <c r="J99" s="22" t="n">
        <v>407286</v>
      </c>
      <c r="K99" s="22" t="n">
        <v>1770004</v>
      </c>
      <c r="L99" s="22" t="n">
        <v>277514</v>
      </c>
      <c r="M99" s="22" t="n">
        <v>1037320</v>
      </c>
      <c r="N99" s="22" t="n">
        <v>270039</v>
      </c>
      <c r="O99" s="22" t="n">
        <v>284</v>
      </c>
      <c r="P99" s="23" t="n">
        <v>0</v>
      </c>
      <c r="Q99" s="23" t="n">
        <v>0</v>
      </c>
      <c r="R99" s="24" t="n">
        <f aca="false">K99/(K99+L99)</f>
        <v>0.864463218394173</v>
      </c>
      <c r="S99" s="24" t="n">
        <f aca="false">M99/(M99+N99)</f>
        <v>0.793446941505738</v>
      </c>
      <c r="T99" s="24" t="n">
        <f aca="false">J99/G99</f>
        <v>0.311533404367125</v>
      </c>
      <c r="U99" s="21" t="n">
        <f aca="false">IF(AND(A99&gt;=Seasonality!$C$4,A99&lt;=Seasonality!$C$5),1,0)</f>
        <v>0</v>
      </c>
    </row>
    <row r="100" customFormat="false" ht="15" hidden="false" customHeight="false" outlineLevel="0" collapsed="false">
      <c r="A100" s="20" t="n">
        <v>43466</v>
      </c>
      <c r="B100" s="21" t="s">
        <v>203</v>
      </c>
      <c r="C100" s="21" t="s">
        <v>46</v>
      </c>
      <c r="D100" s="21" t="s">
        <v>77</v>
      </c>
      <c r="E100" s="21" t="s">
        <v>104</v>
      </c>
      <c r="F100" s="22" t="n">
        <v>2113413</v>
      </c>
      <c r="G100" s="22" t="n">
        <v>1344354</v>
      </c>
      <c r="H100" s="22" t="n">
        <v>721443</v>
      </c>
      <c r="I100" s="22" t="n">
        <v>564035</v>
      </c>
      <c r="J100" s="22" t="n">
        <v>414698</v>
      </c>
      <c r="K100" s="22" t="n">
        <v>1782717</v>
      </c>
      <c r="L100" s="22" t="n">
        <v>330696</v>
      </c>
      <c r="M100" s="22" t="n">
        <v>1022576</v>
      </c>
      <c r="N100" s="22" t="n">
        <v>321778</v>
      </c>
      <c r="O100" s="22" t="n">
        <v>627</v>
      </c>
      <c r="P100" s="23" t="n">
        <v>0</v>
      </c>
      <c r="Q100" s="23" t="n">
        <v>0</v>
      </c>
      <c r="R100" s="24" t="n">
        <f aca="false">K100/(K100+L100)</f>
        <v>0.843525141560121</v>
      </c>
      <c r="S100" s="24" t="n">
        <f aca="false">M100/(M100+N100)</f>
        <v>0.760644889664478</v>
      </c>
      <c r="T100" s="24" t="n">
        <f aca="false">J100/G100</f>
        <v>0.308473809725712</v>
      </c>
      <c r="U100" s="21" t="n">
        <f aca="false">IF(AND(A100&gt;=Seasonality!$C$4,A100&lt;=Seasonality!$C$5),1,0)</f>
        <v>0</v>
      </c>
    </row>
    <row r="101" customFormat="false" ht="15" hidden="false" customHeight="false" outlineLevel="0" collapsed="false">
      <c r="A101" s="20" t="n">
        <v>43497</v>
      </c>
      <c r="B101" s="21" t="s">
        <v>204</v>
      </c>
      <c r="C101" s="21" t="s">
        <v>46</v>
      </c>
      <c r="D101" s="21" t="s">
        <v>78</v>
      </c>
      <c r="E101" s="21" t="s">
        <v>104</v>
      </c>
      <c r="F101" s="22" t="n">
        <v>1954947</v>
      </c>
      <c r="G101" s="22" t="n">
        <v>1234328</v>
      </c>
      <c r="H101" s="22" t="n">
        <v>676436</v>
      </c>
      <c r="I101" s="22" t="n">
        <v>505722</v>
      </c>
      <c r="J101" s="22" t="n">
        <v>370476</v>
      </c>
      <c r="K101" s="22" t="n">
        <v>1646559</v>
      </c>
      <c r="L101" s="22" t="n">
        <v>308388</v>
      </c>
      <c r="M101" s="22" t="n">
        <v>935100</v>
      </c>
      <c r="N101" s="22" t="n">
        <v>299228</v>
      </c>
      <c r="O101" s="22" t="n">
        <v>521</v>
      </c>
      <c r="P101" s="23" t="n">
        <v>0</v>
      </c>
      <c r="Q101" s="23" t="n">
        <v>0</v>
      </c>
      <c r="R101" s="24" t="n">
        <f aca="false">K101/(K101+L101)</f>
        <v>0.842252500962942</v>
      </c>
      <c r="S101" s="24" t="n">
        <f aca="false">M101/(M101+N101)</f>
        <v>0.757578212598272</v>
      </c>
      <c r="T101" s="24" t="n">
        <f aca="false">J101/G101</f>
        <v>0.300143883959531</v>
      </c>
      <c r="U101" s="21" t="n">
        <f aca="false">IF(AND(A101&gt;=Seasonality!$C$4,A101&lt;=Seasonality!$C$5),1,0)</f>
        <v>0</v>
      </c>
    </row>
    <row r="102" customFormat="false" ht="15" hidden="false" customHeight="false" outlineLevel="0" collapsed="false">
      <c r="A102" s="20" t="n">
        <v>43525</v>
      </c>
      <c r="B102" s="21" t="s">
        <v>205</v>
      </c>
      <c r="C102" s="21" t="s">
        <v>46</v>
      </c>
      <c r="D102" s="21" t="s">
        <v>79</v>
      </c>
      <c r="E102" s="21" t="s">
        <v>108</v>
      </c>
      <c r="F102" s="22" t="n">
        <v>2167551</v>
      </c>
      <c r="G102" s="22" t="n">
        <v>1373061</v>
      </c>
      <c r="H102" s="22" t="n">
        <v>744000</v>
      </c>
      <c r="I102" s="22" t="n">
        <v>555457</v>
      </c>
      <c r="J102" s="22" t="n">
        <v>409617</v>
      </c>
      <c r="K102" s="22" t="n">
        <v>1877301</v>
      </c>
      <c r="L102" s="22" t="n">
        <v>290250</v>
      </c>
      <c r="M102" s="22" t="n">
        <v>1091504</v>
      </c>
      <c r="N102" s="22" t="n">
        <v>281557</v>
      </c>
      <c r="O102" s="22" t="n">
        <v>331</v>
      </c>
      <c r="P102" s="23" t="n">
        <v>0</v>
      </c>
      <c r="Q102" s="23" t="n">
        <v>0</v>
      </c>
      <c r="R102" s="24" t="n">
        <f aca="false">K102/(K102+L102)</f>
        <v>0.866093116148132</v>
      </c>
      <c r="S102" s="24" t="n">
        <f aca="false">M102/(M102+N102)</f>
        <v>0.794942103810392</v>
      </c>
      <c r="T102" s="24" t="n">
        <f aca="false">J102/G102</f>
        <v>0.298323963756891</v>
      </c>
      <c r="U102" s="21" t="n">
        <f aca="false">IF(AND(A102&gt;=Seasonality!$C$4,A102&lt;=Seasonality!$C$5),1,0)</f>
        <v>0</v>
      </c>
    </row>
    <row r="103" customFormat="false" ht="15" hidden="false" customHeight="false" outlineLevel="0" collapsed="false">
      <c r="A103" s="20" t="n">
        <v>43556</v>
      </c>
      <c r="B103" s="21" t="s">
        <v>206</v>
      </c>
      <c r="C103" s="21" t="s">
        <v>47</v>
      </c>
      <c r="D103" s="21" t="s">
        <v>80</v>
      </c>
      <c r="E103" s="21" t="s">
        <v>108</v>
      </c>
      <c r="F103" s="22" t="n">
        <v>2112165</v>
      </c>
      <c r="G103" s="22" t="n">
        <v>1330825</v>
      </c>
      <c r="H103" s="22" t="n">
        <v>732059</v>
      </c>
      <c r="I103" s="22" t="n">
        <v>535226</v>
      </c>
      <c r="J103" s="22" t="n">
        <v>398802</v>
      </c>
      <c r="K103" s="22" t="n">
        <v>1797984</v>
      </c>
      <c r="L103" s="22" t="n">
        <v>314181</v>
      </c>
      <c r="M103" s="22" t="n">
        <v>1026604</v>
      </c>
      <c r="N103" s="22" t="n">
        <v>304221</v>
      </c>
      <c r="O103" s="22" t="n">
        <v>442</v>
      </c>
      <c r="P103" s="23" t="n">
        <v>0</v>
      </c>
      <c r="Q103" s="23" t="n">
        <v>0</v>
      </c>
      <c r="R103" s="24" t="n">
        <f aca="false">K103/(K103+L103)</f>
        <v>0.851251677780855</v>
      </c>
      <c r="S103" s="24" t="n">
        <f aca="false">M103/(M103+N103)</f>
        <v>0.771404204159074</v>
      </c>
      <c r="T103" s="24" t="n">
        <f aca="false">J103/G103</f>
        <v>0.299665245242613</v>
      </c>
      <c r="U103" s="21" t="n">
        <f aca="false">IF(AND(A103&gt;=Seasonality!$C$4,A103&lt;=Seasonality!$C$5),1,0)</f>
        <v>0</v>
      </c>
    </row>
    <row r="104" customFormat="false" ht="15" hidden="false" customHeight="false" outlineLevel="0" collapsed="false">
      <c r="A104" s="20" t="n">
        <v>43586</v>
      </c>
      <c r="B104" s="21" t="s">
        <v>207</v>
      </c>
      <c r="C104" s="21" t="s">
        <v>47</v>
      </c>
      <c r="D104" s="21" t="s">
        <v>81</v>
      </c>
      <c r="E104" s="21" t="s">
        <v>108</v>
      </c>
      <c r="F104" s="22" t="n">
        <v>2172006</v>
      </c>
      <c r="G104" s="22" t="n">
        <v>1369332</v>
      </c>
      <c r="H104" s="22" t="n">
        <v>752032</v>
      </c>
      <c r="I104" s="22" t="n">
        <v>547382</v>
      </c>
      <c r="J104" s="22" t="n">
        <v>406065</v>
      </c>
      <c r="K104" s="22" t="n">
        <v>1694301</v>
      </c>
      <c r="L104" s="22" t="n">
        <v>261465</v>
      </c>
      <c r="M104" s="22" t="n">
        <v>958786</v>
      </c>
      <c r="N104" s="22" t="n">
        <v>253619</v>
      </c>
      <c r="O104" s="22" t="n">
        <v>416</v>
      </c>
      <c r="P104" s="23" t="n">
        <v>1</v>
      </c>
      <c r="Q104" s="23" t="n">
        <v>0</v>
      </c>
      <c r="R104" s="24" t="n">
        <f aca="false">K104/(K104+L104)</f>
        <v>0.866310693610585</v>
      </c>
      <c r="S104" s="24" t="n">
        <f aca="false">M104/(M104+N104)</f>
        <v>0.790813300835942</v>
      </c>
      <c r="T104" s="24" t="n">
        <f aca="false">J104/G104</f>
        <v>0.296542401696594</v>
      </c>
      <c r="U104" s="21" t="n">
        <f aca="false">IF(AND(A104&gt;=Seasonality!$C$4,A104&lt;=Seasonality!$C$5),1,0)</f>
        <v>0</v>
      </c>
    </row>
    <row r="105" customFormat="false" ht="15" hidden="false" customHeight="false" outlineLevel="0" collapsed="false">
      <c r="A105" s="20" t="n">
        <v>43617</v>
      </c>
      <c r="B105" s="21" t="s">
        <v>208</v>
      </c>
      <c r="C105" s="21" t="s">
        <v>47</v>
      </c>
      <c r="D105" s="21" t="s">
        <v>82</v>
      </c>
      <c r="E105" s="21" t="s">
        <v>112</v>
      </c>
      <c r="F105" s="22" t="n">
        <v>2107987</v>
      </c>
      <c r="G105" s="22" t="n">
        <v>1334137</v>
      </c>
      <c r="H105" s="22" t="n">
        <v>724617</v>
      </c>
      <c r="I105" s="22" t="n">
        <v>528801</v>
      </c>
      <c r="J105" s="22" t="n">
        <v>392446</v>
      </c>
      <c r="K105" s="22" t="n">
        <v>1638461</v>
      </c>
      <c r="L105" s="22" t="n">
        <v>258582</v>
      </c>
      <c r="M105" s="22" t="n">
        <v>930754</v>
      </c>
      <c r="N105" s="22" t="n">
        <v>250465</v>
      </c>
      <c r="O105" s="22" t="n">
        <v>462</v>
      </c>
      <c r="P105" s="23" t="n">
        <v>1</v>
      </c>
      <c r="Q105" s="23" t="n">
        <v>0</v>
      </c>
      <c r="R105" s="24" t="n">
        <f aca="false">K105/(K105+L105)</f>
        <v>0.863692072346278</v>
      </c>
      <c r="S105" s="24" t="n">
        <f aca="false">M105/(M105+N105)</f>
        <v>0.787960572933554</v>
      </c>
      <c r="T105" s="24" t="n">
        <f aca="false">J105/G105</f>
        <v>0.294157196749659</v>
      </c>
      <c r="U105" s="21" t="n">
        <f aca="false">IF(AND(A105&gt;=Seasonality!$C$4,A105&lt;=Seasonality!$C$5),1,0)</f>
        <v>0</v>
      </c>
    </row>
    <row r="106" customFormat="false" ht="15" hidden="false" customHeight="false" outlineLevel="0" collapsed="false">
      <c r="A106" s="20" t="n">
        <v>43647</v>
      </c>
      <c r="B106" s="21" t="s">
        <v>209</v>
      </c>
      <c r="C106" s="21" t="s">
        <v>47</v>
      </c>
      <c r="D106" s="21" t="s">
        <v>83</v>
      </c>
      <c r="E106" s="21" t="s">
        <v>112</v>
      </c>
      <c r="F106" s="22" t="n">
        <v>2265050</v>
      </c>
      <c r="G106" s="22" t="n">
        <v>1415918</v>
      </c>
      <c r="H106" s="22" t="n">
        <v>796714</v>
      </c>
      <c r="I106" s="22" t="n">
        <v>554069</v>
      </c>
      <c r="J106" s="22" t="n">
        <v>408752</v>
      </c>
      <c r="K106" s="22" t="n">
        <v>1763996</v>
      </c>
      <c r="L106" s="22" t="n">
        <v>275515</v>
      </c>
      <c r="M106" s="22" t="n">
        <v>990283</v>
      </c>
      <c r="N106" s="22" t="n">
        <v>264384</v>
      </c>
      <c r="O106" s="22" t="n">
        <v>452</v>
      </c>
      <c r="P106" s="23" t="n">
        <v>1</v>
      </c>
      <c r="Q106" s="23" t="n">
        <v>0</v>
      </c>
      <c r="R106" s="24" t="n">
        <f aca="false">K106/(K106+L106)</f>
        <v>0.864911245881979</v>
      </c>
      <c r="S106" s="24" t="n">
        <f aca="false">M106/(M106+N106)</f>
        <v>0.789279545887475</v>
      </c>
      <c r="T106" s="24" t="n">
        <f aca="false">J106/G106</f>
        <v>0.288683384207278</v>
      </c>
      <c r="U106" s="21" t="n">
        <f aca="false">IF(AND(A106&gt;=Seasonality!$C$4,A106&lt;=Seasonality!$C$5),1,0)</f>
        <v>0</v>
      </c>
    </row>
    <row r="107" customFormat="false" ht="15" hidden="false" customHeight="false" outlineLevel="0" collapsed="false">
      <c r="A107" s="20" t="n">
        <v>43678</v>
      </c>
      <c r="B107" s="21" t="s">
        <v>210</v>
      </c>
      <c r="C107" s="21" t="s">
        <v>47</v>
      </c>
      <c r="D107" s="21" t="s">
        <v>84</v>
      </c>
      <c r="E107" s="21" t="s">
        <v>112</v>
      </c>
      <c r="F107" s="22" t="n">
        <v>2125435</v>
      </c>
      <c r="G107" s="22" t="n">
        <v>1324070</v>
      </c>
      <c r="H107" s="22" t="n">
        <v>752579</v>
      </c>
      <c r="I107" s="22" t="n">
        <v>529231</v>
      </c>
      <c r="J107" s="22" t="n">
        <v>393710</v>
      </c>
      <c r="K107" s="22" t="n">
        <v>1653995</v>
      </c>
      <c r="L107" s="22" t="n">
        <v>262730</v>
      </c>
      <c r="M107" s="22" t="n">
        <v>919189</v>
      </c>
      <c r="N107" s="22" t="n">
        <v>254243</v>
      </c>
      <c r="O107" s="22" t="n">
        <v>371</v>
      </c>
      <c r="P107" s="23" t="n">
        <v>1</v>
      </c>
      <c r="Q107" s="23" t="n">
        <v>0</v>
      </c>
      <c r="R107" s="24" t="n">
        <f aca="false">K107/(K107+L107)</f>
        <v>0.862927650028043</v>
      </c>
      <c r="S107" s="24" t="n">
        <f aca="false">M107/(M107+N107)</f>
        <v>0.783333844653972</v>
      </c>
      <c r="T107" s="24" t="n">
        <f aca="false">J107/G107</f>
        <v>0.297348327505343</v>
      </c>
      <c r="U107" s="21" t="n">
        <f aca="false">IF(AND(A107&gt;=Seasonality!$C$4,A107&lt;=Seasonality!$C$5),1,0)</f>
        <v>0</v>
      </c>
    </row>
    <row r="108" customFormat="false" ht="15" hidden="false" customHeight="false" outlineLevel="0" collapsed="false">
      <c r="A108" s="20" t="n">
        <v>43709</v>
      </c>
      <c r="B108" s="21" t="s">
        <v>211</v>
      </c>
      <c r="C108" s="21" t="s">
        <v>47</v>
      </c>
      <c r="D108" s="21" t="s">
        <v>85</v>
      </c>
      <c r="E108" s="21" t="s">
        <v>102</v>
      </c>
      <c r="F108" s="22" t="n">
        <v>2123345</v>
      </c>
      <c r="G108" s="22" t="n">
        <v>1342510</v>
      </c>
      <c r="H108" s="22" t="n">
        <v>732618</v>
      </c>
      <c r="I108" s="22" t="n">
        <v>529903</v>
      </c>
      <c r="J108" s="22" t="n">
        <v>391228</v>
      </c>
      <c r="K108" s="22" t="n">
        <v>1630176</v>
      </c>
      <c r="L108" s="22" t="n">
        <v>282197</v>
      </c>
      <c r="M108" s="22" t="n">
        <v>915506</v>
      </c>
      <c r="N108" s="22" t="n">
        <v>273446</v>
      </c>
      <c r="O108" s="22" t="n">
        <v>458</v>
      </c>
      <c r="P108" s="23" t="n">
        <v>1</v>
      </c>
      <c r="Q108" s="23" t="n">
        <v>0</v>
      </c>
      <c r="R108" s="24" t="n">
        <f aca="false">K108/(K108+L108)</f>
        <v>0.852436214064934</v>
      </c>
      <c r="S108" s="24" t="n">
        <f aca="false">M108/(M108+N108)</f>
        <v>0.770010900355944</v>
      </c>
      <c r="T108" s="24" t="n">
        <f aca="false">J108/G108</f>
        <v>0.291415333963993</v>
      </c>
      <c r="U108" s="21" t="n">
        <f aca="false">IF(AND(A108&gt;=Seasonality!$C$4,A108&lt;=Seasonality!$C$5),1,0)</f>
        <v>0</v>
      </c>
    </row>
    <row r="109" customFormat="false" ht="15" hidden="false" customHeight="false" outlineLevel="0" collapsed="false">
      <c r="A109" s="20" t="n">
        <v>43739</v>
      </c>
      <c r="B109" s="21" t="s">
        <v>212</v>
      </c>
      <c r="C109" s="21" t="s">
        <v>47</v>
      </c>
      <c r="D109" s="21" t="s">
        <v>86</v>
      </c>
      <c r="E109" s="21" t="s">
        <v>102</v>
      </c>
      <c r="F109" s="22" t="n">
        <v>2170885</v>
      </c>
      <c r="G109" s="22" t="n">
        <v>1376347</v>
      </c>
      <c r="H109" s="22" t="n">
        <v>744147</v>
      </c>
      <c r="I109" s="22" t="n">
        <v>563133</v>
      </c>
      <c r="J109" s="22" t="n">
        <v>412649</v>
      </c>
      <c r="K109" s="22" t="n">
        <v>1635544</v>
      </c>
      <c r="L109" s="22" t="n">
        <v>320025</v>
      </c>
      <c r="M109" s="22" t="n">
        <v>908243</v>
      </c>
      <c r="N109" s="22" t="n">
        <v>311503</v>
      </c>
      <c r="O109" s="22" t="n">
        <v>725</v>
      </c>
      <c r="P109" s="23" t="n">
        <v>1</v>
      </c>
      <c r="Q109" s="23" t="n">
        <v>0</v>
      </c>
      <c r="R109" s="24" t="n">
        <f aca="false">K109/(K109+L109)</f>
        <v>0.836351977352883</v>
      </c>
      <c r="S109" s="24" t="n">
        <f aca="false">M109/(M109+N109)</f>
        <v>0.744616502124213</v>
      </c>
      <c r="T109" s="24" t="n">
        <f aca="false">J109/G109</f>
        <v>0.299814654298662</v>
      </c>
      <c r="U109" s="21" t="n">
        <f aca="false">IF(AND(A109&gt;=Seasonality!$C$4,A109&lt;=Seasonality!$C$5),1,0)</f>
        <v>0</v>
      </c>
    </row>
    <row r="110" customFormat="false" ht="15" hidden="false" customHeight="false" outlineLevel="0" collapsed="false">
      <c r="A110" s="20" t="n">
        <v>43770</v>
      </c>
      <c r="B110" s="21" t="s">
        <v>213</v>
      </c>
      <c r="C110" s="21" t="s">
        <v>47</v>
      </c>
      <c r="D110" s="21" t="s">
        <v>87</v>
      </c>
      <c r="E110" s="21" t="s">
        <v>102</v>
      </c>
      <c r="F110" s="22" t="n">
        <v>2143505</v>
      </c>
      <c r="G110" s="22" t="n">
        <v>1366383</v>
      </c>
      <c r="H110" s="22" t="n">
        <v>729943</v>
      </c>
      <c r="I110" s="22" t="n">
        <v>559556</v>
      </c>
      <c r="J110" s="22" t="n">
        <v>408116</v>
      </c>
      <c r="K110" s="22" t="n">
        <v>1571567</v>
      </c>
      <c r="L110" s="22" t="n">
        <v>358128</v>
      </c>
      <c r="M110" s="22" t="n">
        <v>863910</v>
      </c>
      <c r="N110" s="22" t="n">
        <v>347294</v>
      </c>
      <c r="O110" s="22" t="n">
        <v>1111</v>
      </c>
      <c r="P110" s="23" t="n">
        <v>1</v>
      </c>
      <c r="Q110" s="23" t="n">
        <v>0</v>
      </c>
      <c r="R110" s="24" t="n">
        <f aca="false">K110/(K110+L110)</f>
        <v>0.814412122122926</v>
      </c>
      <c r="S110" s="24" t="n">
        <f aca="false">M110/(M110+N110)</f>
        <v>0.713265477987193</v>
      </c>
      <c r="T110" s="24" t="n">
        <f aca="false">J110/G110</f>
        <v>0.298683458444667</v>
      </c>
      <c r="U110" s="21" t="n">
        <f aca="false">IF(AND(A110&gt;=Seasonality!$C$4,A110&lt;=Seasonality!$C$5),1,0)</f>
        <v>0</v>
      </c>
    </row>
    <row r="111" customFormat="false" ht="15" hidden="false" customHeight="false" outlineLevel="0" collapsed="false">
      <c r="A111" s="20" t="n">
        <v>43800</v>
      </c>
      <c r="B111" s="21" t="s">
        <v>214</v>
      </c>
      <c r="C111" s="21" t="s">
        <v>47</v>
      </c>
      <c r="D111" s="21" t="s">
        <v>88</v>
      </c>
      <c r="E111" s="21" t="s">
        <v>104</v>
      </c>
      <c r="F111" s="22" t="n">
        <v>2180537</v>
      </c>
      <c r="G111" s="22" t="n">
        <v>1373654</v>
      </c>
      <c r="H111" s="22" t="n">
        <v>763425</v>
      </c>
      <c r="I111" s="22" t="n">
        <v>560795</v>
      </c>
      <c r="J111" s="22" t="n">
        <v>416017</v>
      </c>
      <c r="K111" s="22" t="n">
        <v>1565862</v>
      </c>
      <c r="L111" s="22" t="n">
        <v>396198</v>
      </c>
      <c r="M111" s="22" t="n">
        <v>834037</v>
      </c>
      <c r="N111" s="22" t="n">
        <v>381159</v>
      </c>
      <c r="O111" s="22" t="n">
        <v>2356</v>
      </c>
      <c r="P111" s="23" t="n">
        <v>1</v>
      </c>
      <c r="Q111" s="23" t="n">
        <v>0</v>
      </c>
      <c r="R111" s="24" t="n">
        <f aca="false">K111/(K111+L111)</f>
        <v>0.798070395400752</v>
      </c>
      <c r="S111" s="24" t="n">
        <f aca="false">M111/(M111+N111)</f>
        <v>0.68633948762175</v>
      </c>
      <c r="T111" s="24" t="n">
        <f aca="false">J111/G111</f>
        <v>0.30285428499462</v>
      </c>
      <c r="U111" s="21" t="n">
        <f aca="false">IF(AND(A111&gt;=Seasonality!$C$4,A111&lt;=Seasonality!$C$5),1,0)</f>
        <v>0</v>
      </c>
    </row>
    <row r="112" customFormat="false" ht="15" hidden="false" customHeight="false" outlineLevel="0" collapsed="false">
      <c r="A112" s="20" t="n">
        <v>43831</v>
      </c>
      <c r="B112" s="21" t="s">
        <v>215</v>
      </c>
      <c r="C112" s="21" t="s">
        <v>47</v>
      </c>
      <c r="D112" s="21" t="s">
        <v>77</v>
      </c>
      <c r="E112" s="21" t="s">
        <v>104</v>
      </c>
      <c r="F112" s="22" t="n">
        <v>2114709</v>
      </c>
      <c r="G112" s="22" t="n">
        <v>1327234</v>
      </c>
      <c r="H112" s="22" t="n">
        <v>737878</v>
      </c>
      <c r="I112" s="22" t="n">
        <v>559058</v>
      </c>
      <c r="J112" s="22" t="n">
        <v>408501</v>
      </c>
      <c r="K112" s="22" t="n">
        <v>1555315</v>
      </c>
      <c r="L112" s="22" t="n">
        <v>348776</v>
      </c>
      <c r="M112" s="22" t="n">
        <v>836435</v>
      </c>
      <c r="N112" s="22" t="n">
        <v>338870</v>
      </c>
      <c r="O112" s="22" t="n">
        <v>2847</v>
      </c>
      <c r="P112" s="23" t="n">
        <v>1</v>
      </c>
      <c r="Q112" s="23" t="n">
        <v>0</v>
      </c>
      <c r="R112" s="24" t="n">
        <f aca="false">K112/(K112+L112)</f>
        <v>0.816828082271278</v>
      </c>
      <c r="S112" s="24" t="n">
        <f aca="false">M112/(M112+N112)</f>
        <v>0.711674841849562</v>
      </c>
      <c r="T112" s="24" t="n">
        <f aca="false">J112/G112</f>
        <v>0.307783706565685</v>
      </c>
      <c r="U112" s="21" t="n">
        <f aca="false">IF(AND(A112&gt;=Seasonality!$C$4,A112&lt;=Seasonality!$C$5),1,0)</f>
        <v>0</v>
      </c>
    </row>
    <row r="113" customFormat="false" ht="15" hidden="false" customHeight="false" outlineLevel="0" collapsed="false">
      <c r="A113" s="20" t="n">
        <v>43862</v>
      </c>
      <c r="B113" s="21" t="s">
        <v>216</v>
      </c>
      <c r="C113" s="21" t="s">
        <v>47</v>
      </c>
      <c r="D113" s="21" t="s">
        <v>78</v>
      </c>
      <c r="E113" s="21" t="s">
        <v>104</v>
      </c>
      <c r="F113" s="22" t="n">
        <v>1969691</v>
      </c>
      <c r="G113" s="22" t="n">
        <v>1237255</v>
      </c>
      <c r="H113" s="22" t="n">
        <v>687312</v>
      </c>
      <c r="I113" s="22" t="n">
        <v>510811</v>
      </c>
      <c r="J113" s="22" t="n">
        <v>374612</v>
      </c>
      <c r="K113" s="22" t="n">
        <v>1468379</v>
      </c>
      <c r="L113" s="22" t="n">
        <v>305307</v>
      </c>
      <c r="M113" s="22" t="n">
        <v>799611</v>
      </c>
      <c r="N113" s="22" t="n">
        <v>296195</v>
      </c>
      <c r="O113" s="22" t="n">
        <v>1621</v>
      </c>
      <c r="P113" s="23" t="n">
        <v>1</v>
      </c>
      <c r="Q113" s="23" t="n">
        <v>0</v>
      </c>
      <c r="R113" s="24" t="n">
        <f aca="false">K113/(K113+L113)</f>
        <v>0.82786863063699</v>
      </c>
      <c r="S113" s="24" t="n">
        <f aca="false">M113/(M113+N113)</f>
        <v>0.729701242738222</v>
      </c>
      <c r="T113" s="24" t="n">
        <f aca="false">J113/G113</f>
        <v>0.302776711348914</v>
      </c>
      <c r="U113" s="21" t="n">
        <f aca="false">IF(AND(A113&gt;=Seasonality!$C$4,A113&lt;=Seasonality!$C$5),1,0)</f>
        <v>0</v>
      </c>
    </row>
    <row r="114" customFormat="false" ht="15" hidden="false" customHeight="false" outlineLevel="0" collapsed="false">
      <c r="A114" s="20" t="n">
        <v>43891</v>
      </c>
      <c r="B114" s="21" t="s">
        <v>217</v>
      </c>
      <c r="C114" s="21" t="s">
        <v>47</v>
      </c>
      <c r="D114" s="21" t="s">
        <v>79</v>
      </c>
      <c r="E114" s="21" t="s">
        <v>108</v>
      </c>
      <c r="F114" s="22" t="n">
        <v>1531801</v>
      </c>
      <c r="G114" s="22" t="n">
        <v>1013021</v>
      </c>
      <c r="H114" s="22" t="n">
        <v>486033</v>
      </c>
      <c r="I114" s="22" t="n">
        <v>427968</v>
      </c>
      <c r="J114" s="22" t="n">
        <v>319392</v>
      </c>
      <c r="K114" s="22" t="n">
        <v>1162096</v>
      </c>
      <c r="L114" s="22" t="n">
        <v>216801</v>
      </c>
      <c r="M114" s="22" t="n">
        <v>685711</v>
      </c>
      <c r="N114" s="22" t="n">
        <v>212557</v>
      </c>
      <c r="O114" s="22" t="n">
        <v>1174</v>
      </c>
      <c r="P114" s="23" t="n">
        <v>1</v>
      </c>
      <c r="Q114" s="23" t="n">
        <v>0</v>
      </c>
      <c r="R114" s="24" t="n">
        <f aca="false">K114/(K114+L114)</f>
        <v>0.842772157746373</v>
      </c>
      <c r="S114" s="24" t="n">
        <f aca="false">M114/(M114+N114)</f>
        <v>0.76337017460268</v>
      </c>
      <c r="T114" s="24" t="n">
        <f aca="false">J114/G114</f>
        <v>0.315286652497826</v>
      </c>
      <c r="U114" s="21" t="n">
        <f aca="false">IF(AND(A114&gt;=Seasonality!$C$4,A114&lt;=Seasonality!$C$5),1,0)</f>
        <v>0</v>
      </c>
    </row>
    <row r="115" customFormat="false" ht="15" hidden="false" customHeight="false" outlineLevel="0" collapsed="false">
      <c r="A115" s="20" t="n">
        <v>43922</v>
      </c>
      <c r="B115" s="21" t="s">
        <v>218</v>
      </c>
      <c r="C115" s="21" t="s">
        <v>48</v>
      </c>
      <c r="D115" s="21" t="s">
        <v>80</v>
      </c>
      <c r="E115" s="21" t="s">
        <v>108</v>
      </c>
      <c r="F115" s="22" t="n">
        <v>916575</v>
      </c>
      <c r="G115" s="22" t="n">
        <v>689720</v>
      </c>
      <c r="H115" s="22" t="n">
        <v>207129</v>
      </c>
      <c r="I115" s="22" t="n">
        <v>326581</v>
      </c>
      <c r="J115" s="22" t="n">
        <v>252680</v>
      </c>
      <c r="K115" s="22" t="n">
        <v>739471</v>
      </c>
      <c r="L115" s="22" t="n">
        <v>78135</v>
      </c>
      <c r="M115" s="22" t="n">
        <v>530642</v>
      </c>
      <c r="N115" s="22" t="n">
        <v>77357</v>
      </c>
      <c r="O115" s="22" t="n">
        <v>251</v>
      </c>
      <c r="P115" s="23" t="n">
        <v>1</v>
      </c>
      <c r="Q115" s="23" t="n">
        <v>0</v>
      </c>
      <c r="R115" s="24" t="n">
        <f aca="false">K115/(K115+L115)</f>
        <v>0.904434409727913</v>
      </c>
      <c r="S115" s="24" t="n">
        <f aca="false">M115/(M115+N115)</f>
        <v>0.872767882841913</v>
      </c>
      <c r="T115" s="24" t="n">
        <f aca="false">J115/G115</f>
        <v>0.366351562953082</v>
      </c>
      <c r="U115" s="21" t="n">
        <f aca="false">IF(AND(A115&gt;=Seasonality!$C$4,A115&lt;=Seasonality!$C$5),1,0)</f>
        <v>0</v>
      </c>
    </row>
    <row r="116" customFormat="false" ht="15" hidden="false" customHeight="false" outlineLevel="0" collapsed="false">
      <c r="A116" s="20" t="n">
        <v>43952</v>
      </c>
      <c r="B116" s="21" t="s">
        <v>219</v>
      </c>
      <c r="C116" s="21" t="s">
        <v>48</v>
      </c>
      <c r="D116" s="21" t="s">
        <v>81</v>
      </c>
      <c r="E116" s="21" t="s">
        <v>108</v>
      </c>
      <c r="F116" s="22" t="n">
        <v>1261837</v>
      </c>
      <c r="G116" s="22" t="n">
        <v>924218</v>
      </c>
      <c r="H116" s="22" t="n">
        <v>311140</v>
      </c>
      <c r="I116" s="22" t="n">
        <v>398406</v>
      </c>
      <c r="J116" s="22" t="n">
        <v>308798</v>
      </c>
      <c r="K116" s="22" t="n">
        <v>1049584</v>
      </c>
      <c r="L116" s="22" t="n">
        <v>72861</v>
      </c>
      <c r="M116" s="22" t="n">
        <v>741249</v>
      </c>
      <c r="N116" s="22" t="n">
        <v>71894</v>
      </c>
      <c r="O116" s="22" t="n">
        <v>93</v>
      </c>
      <c r="P116" s="23" t="n">
        <v>1</v>
      </c>
      <c r="Q116" s="23" t="n">
        <v>0</v>
      </c>
      <c r="R116" s="24" t="n">
        <f aca="false">K116/(K116+L116)</f>
        <v>0.935087242582042</v>
      </c>
      <c r="S116" s="24" t="n">
        <f aca="false">M116/(M116+N116)</f>
        <v>0.911585047156527</v>
      </c>
      <c r="T116" s="24" t="n">
        <f aca="false">J116/G116</f>
        <v>0.334118140958086</v>
      </c>
      <c r="U116" s="21" t="n">
        <f aca="false">IF(AND(A116&gt;=Seasonality!$C$4,A116&lt;=Seasonality!$C$5),1,0)</f>
        <v>0</v>
      </c>
    </row>
    <row r="117" customFormat="false" ht="15" hidden="false" customHeight="false" outlineLevel="0" collapsed="false">
      <c r="A117" s="20" t="n">
        <v>43983</v>
      </c>
      <c r="B117" s="21" t="s">
        <v>220</v>
      </c>
      <c r="C117" s="21" t="s">
        <v>48</v>
      </c>
      <c r="D117" s="21" t="s">
        <v>82</v>
      </c>
      <c r="E117" s="21" t="s">
        <v>112</v>
      </c>
      <c r="F117" s="22" t="n">
        <v>1410602</v>
      </c>
      <c r="G117" s="22" t="n">
        <v>1016132</v>
      </c>
      <c r="H117" s="22" t="n">
        <v>363576</v>
      </c>
      <c r="I117" s="22" t="n">
        <v>437601</v>
      </c>
      <c r="J117" s="22" t="n">
        <v>332910</v>
      </c>
      <c r="K117" s="22" t="n">
        <v>1165135</v>
      </c>
      <c r="L117" s="22" t="n">
        <v>90711</v>
      </c>
      <c r="M117" s="22" t="n">
        <v>806396</v>
      </c>
      <c r="N117" s="22" t="n">
        <v>89368</v>
      </c>
      <c r="O117" s="22" t="n">
        <v>159</v>
      </c>
      <c r="P117" s="23" t="n">
        <v>1</v>
      </c>
      <c r="Q117" s="23" t="n">
        <v>0</v>
      </c>
      <c r="R117" s="24" t="n">
        <f aca="false">K117/(K117+L117)</f>
        <v>0.927769009894525</v>
      </c>
      <c r="S117" s="24" t="n">
        <f aca="false">M117/(M117+N117)</f>
        <v>0.900232650564211</v>
      </c>
      <c r="T117" s="24" t="n">
        <f aca="false">J117/G117</f>
        <v>0.327624757413407</v>
      </c>
      <c r="U117" s="21" t="n">
        <f aca="false">IF(AND(A117&gt;=Seasonality!$C$4,A117&lt;=Seasonality!$C$5),1,0)</f>
        <v>0</v>
      </c>
    </row>
    <row r="118" customFormat="false" ht="15" hidden="false" customHeight="false" outlineLevel="0" collapsed="false">
      <c r="A118" s="20" t="n">
        <v>44013</v>
      </c>
      <c r="B118" s="21" t="s">
        <v>221</v>
      </c>
      <c r="C118" s="21" t="s">
        <v>48</v>
      </c>
      <c r="D118" s="21" t="s">
        <v>83</v>
      </c>
      <c r="E118" s="21" t="s">
        <v>112</v>
      </c>
      <c r="F118" s="22" t="n">
        <v>1588286</v>
      </c>
      <c r="G118" s="22" t="n">
        <v>1120421</v>
      </c>
      <c r="H118" s="22" t="n">
        <v>435106</v>
      </c>
      <c r="I118" s="22" t="n">
        <v>473226</v>
      </c>
      <c r="J118" s="22" t="n">
        <v>358671</v>
      </c>
      <c r="K118" s="22" t="n">
        <v>1301061</v>
      </c>
      <c r="L118" s="22" t="n">
        <v>113278</v>
      </c>
      <c r="M118" s="22" t="n">
        <v>875764</v>
      </c>
      <c r="N118" s="22" t="n">
        <v>111270</v>
      </c>
      <c r="O118" s="22" t="n">
        <v>271</v>
      </c>
      <c r="P118" s="23" t="n">
        <v>1</v>
      </c>
      <c r="Q118" s="23" t="n">
        <v>0</v>
      </c>
      <c r="R118" s="24" t="n">
        <f aca="false">K118/(K118+L118)</f>
        <v>0.919907462072389</v>
      </c>
      <c r="S118" s="24" t="n">
        <f aca="false">M118/(M118+N118)</f>
        <v>0.887268321050744</v>
      </c>
      <c r="T118" s="24" t="n">
        <f aca="false">J118/G118</f>
        <v>0.320121632850509</v>
      </c>
      <c r="U118" s="21" t="n">
        <f aca="false">IF(AND(A118&gt;=Seasonality!$C$4,A118&lt;=Seasonality!$C$5),1,0)</f>
        <v>0</v>
      </c>
    </row>
    <row r="119" customFormat="false" ht="15" hidden="false" customHeight="false" outlineLevel="0" collapsed="false">
      <c r="A119" s="20" t="n">
        <v>44044</v>
      </c>
      <c r="B119" s="21" t="s">
        <v>222</v>
      </c>
      <c r="C119" s="21" t="s">
        <v>48</v>
      </c>
      <c r="D119" s="21" t="s">
        <v>84</v>
      </c>
      <c r="E119" s="21" t="s">
        <v>112</v>
      </c>
      <c r="F119" s="22" t="n">
        <v>1719003</v>
      </c>
      <c r="G119" s="22" t="n">
        <v>1179019</v>
      </c>
      <c r="H119" s="22" t="n">
        <v>507753</v>
      </c>
      <c r="I119" s="22" t="n">
        <v>474225</v>
      </c>
      <c r="J119" s="22" t="n">
        <v>365503</v>
      </c>
      <c r="K119" s="22" t="n">
        <v>1367700</v>
      </c>
      <c r="L119" s="22" t="n">
        <v>166099</v>
      </c>
      <c r="M119" s="22" t="n">
        <v>876520</v>
      </c>
      <c r="N119" s="22" t="n">
        <v>162951</v>
      </c>
      <c r="O119" s="22" t="n">
        <v>335</v>
      </c>
      <c r="P119" s="23" t="n">
        <v>1</v>
      </c>
      <c r="Q119" s="23" t="n">
        <v>0</v>
      </c>
      <c r="R119" s="24" t="n">
        <f aca="false">K119/(K119+L119)</f>
        <v>0.89170745319302</v>
      </c>
      <c r="S119" s="24" t="n">
        <f aca="false">M119/(M119+N119)</f>
        <v>0.843236607851494</v>
      </c>
      <c r="T119" s="24" t="n">
        <f aca="false">J119/G119</f>
        <v>0.310006030437169</v>
      </c>
      <c r="U119" s="21" t="n">
        <f aca="false">IF(AND(A119&gt;=Seasonality!$C$4,A119&lt;=Seasonality!$C$5),1,0)</f>
        <v>0</v>
      </c>
    </row>
    <row r="120" customFormat="false" ht="15" hidden="false" customHeight="false" outlineLevel="0" collapsed="false">
      <c r="A120" s="20" t="n">
        <v>44075</v>
      </c>
      <c r="B120" s="21" t="s">
        <v>223</v>
      </c>
      <c r="C120" s="21" t="s">
        <v>48</v>
      </c>
      <c r="D120" s="21" t="s">
        <v>85</v>
      </c>
      <c r="E120" s="21" t="s">
        <v>102</v>
      </c>
      <c r="F120" s="22" t="n">
        <v>1693880</v>
      </c>
      <c r="G120" s="22" t="n">
        <v>1163948</v>
      </c>
      <c r="H120" s="22" t="n">
        <v>496637</v>
      </c>
      <c r="I120" s="22" t="n">
        <v>479855</v>
      </c>
      <c r="J120" s="22" t="n">
        <v>365705</v>
      </c>
      <c r="K120" s="22" t="n">
        <v>1319940</v>
      </c>
      <c r="L120" s="22" t="n">
        <v>192094</v>
      </c>
      <c r="M120" s="22" t="n">
        <v>837766</v>
      </c>
      <c r="N120" s="22" t="n">
        <v>188521</v>
      </c>
      <c r="O120" s="22" t="n">
        <v>346</v>
      </c>
      <c r="P120" s="23" t="n">
        <v>1</v>
      </c>
      <c r="Q120" s="23" t="n">
        <v>0</v>
      </c>
      <c r="R120" s="24" t="n">
        <f aca="false">K120/(K120+L120)</f>
        <v>0.872956560500624</v>
      </c>
      <c r="S120" s="24" t="n">
        <f aca="false">M120/(M120+N120)</f>
        <v>0.816307718990887</v>
      </c>
      <c r="T120" s="24" t="n">
        <f aca="false">J120/G120</f>
        <v>0.314193589404338</v>
      </c>
      <c r="U120" s="21" t="n">
        <f aca="false">IF(AND(A120&gt;=Seasonality!$C$4,A120&lt;=Seasonality!$C$5),1,0)</f>
        <v>0</v>
      </c>
    </row>
    <row r="121" customFormat="false" ht="15" hidden="false" customHeight="false" outlineLevel="0" collapsed="false">
      <c r="A121" s="20" t="n">
        <v>44105</v>
      </c>
      <c r="B121" s="21" t="s">
        <v>224</v>
      </c>
      <c r="C121" s="21" t="s">
        <v>48</v>
      </c>
      <c r="D121" s="21" t="s">
        <v>86</v>
      </c>
      <c r="E121" s="21" t="s">
        <v>102</v>
      </c>
      <c r="F121" s="22" t="n">
        <v>1599347</v>
      </c>
      <c r="G121" s="22" t="n">
        <v>1111958</v>
      </c>
      <c r="H121" s="22" t="n">
        <v>454377</v>
      </c>
      <c r="I121" s="22" t="n">
        <v>481846</v>
      </c>
      <c r="J121" s="22" t="n">
        <v>367175</v>
      </c>
      <c r="K121" s="22" t="n">
        <v>1198227</v>
      </c>
      <c r="L121" s="22" t="n">
        <v>221002</v>
      </c>
      <c r="M121" s="22" t="n">
        <v>755357</v>
      </c>
      <c r="N121" s="22" t="n">
        <v>218178</v>
      </c>
      <c r="O121" s="22" t="n">
        <v>1268</v>
      </c>
      <c r="P121" s="23" t="n">
        <v>1</v>
      </c>
      <c r="Q121" s="23" t="n">
        <v>0</v>
      </c>
      <c r="R121" s="24" t="n">
        <f aca="false">K121/(K121+L121)</f>
        <v>0.844280239482141</v>
      </c>
      <c r="S121" s="24" t="n">
        <f aca="false">M121/(M121+N121)</f>
        <v>0.775890954100263</v>
      </c>
      <c r="T121" s="24" t="n">
        <f aca="false">J121/G121</f>
        <v>0.330205817126186</v>
      </c>
      <c r="U121" s="21" t="n">
        <f aca="false">IF(AND(A121&gt;=Seasonality!$C$4,A121&lt;=Seasonality!$C$5),1,0)</f>
        <v>0</v>
      </c>
    </row>
    <row r="122" customFormat="false" ht="15" hidden="false" customHeight="false" outlineLevel="0" collapsed="false">
      <c r="A122" s="20" t="n">
        <v>44136</v>
      </c>
      <c r="B122" s="21" t="s">
        <v>225</v>
      </c>
      <c r="C122" s="21" t="s">
        <v>48</v>
      </c>
      <c r="D122" s="21" t="s">
        <v>87</v>
      </c>
      <c r="E122" s="21" t="s">
        <v>102</v>
      </c>
      <c r="F122" s="22" t="n">
        <v>1485176</v>
      </c>
      <c r="G122" s="22" t="n">
        <v>1036350</v>
      </c>
      <c r="H122" s="22" t="n">
        <v>416954</v>
      </c>
      <c r="I122" s="22" t="n">
        <v>453916</v>
      </c>
      <c r="J122" s="22" t="n">
        <v>343989</v>
      </c>
      <c r="K122" s="22" t="n">
        <v>1104337</v>
      </c>
      <c r="L122" s="22" t="n">
        <v>212753</v>
      </c>
      <c r="M122" s="22" t="n">
        <v>696824</v>
      </c>
      <c r="N122" s="22" t="n">
        <v>210250</v>
      </c>
      <c r="O122" s="22" t="n">
        <v>2148</v>
      </c>
      <c r="P122" s="23" t="n">
        <v>1</v>
      </c>
      <c r="Q122" s="23" t="n">
        <v>0</v>
      </c>
      <c r="R122" s="24" t="n">
        <f aca="false">K122/(K122+L122)</f>
        <v>0.838467378842752</v>
      </c>
      <c r="S122" s="24" t="n">
        <f aca="false">M122/(M122+N122)</f>
        <v>0.76821075237522</v>
      </c>
      <c r="T122" s="24" t="n">
        <f aca="false">J122/G122</f>
        <v>0.331923577941815</v>
      </c>
      <c r="U122" s="21" t="n">
        <f aca="false">IF(AND(A122&gt;=Seasonality!$C$4,A122&lt;=Seasonality!$C$5),1,0)</f>
        <v>0</v>
      </c>
    </row>
    <row r="123" customFormat="false" ht="15" hidden="false" customHeight="false" outlineLevel="0" collapsed="false">
      <c r="A123" s="20" t="n">
        <v>44166</v>
      </c>
      <c r="B123" s="21" t="s">
        <v>226</v>
      </c>
      <c r="C123" s="21" t="s">
        <v>48</v>
      </c>
      <c r="D123" s="21" t="s">
        <v>88</v>
      </c>
      <c r="E123" s="21" t="s">
        <v>104</v>
      </c>
      <c r="F123" s="22" t="n">
        <v>1474674</v>
      </c>
      <c r="G123" s="22" t="n">
        <v>1039474</v>
      </c>
      <c r="H123" s="22" t="n">
        <v>405362</v>
      </c>
      <c r="I123" s="22" t="n">
        <v>460260</v>
      </c>
      <c r="J123" s="22" t="n">
        <v>351824</v>
      </c>
      <c r="K123" s="22" t="n">
        <v>1049849</v>
      </c>
      <c r="L123" s="22" t="n">
        <v>257854</v>
      </c>
      <c r="M123" s="22" t="n">
        <v>657248</v>
      </c>
      <c r="N123" s="22" t="n">
        <v>255051</v>
      </c>
      <c r="O123" s="22" t="n">
        <v>3745</v>
      </c>
      <c r="P123" s="23" t="n">
        <v>1</v>
      </c>
      <c r="Q123" s="23" t="n">
        <v>0</v>
      </c>
      <c r="R123" s="24" t="n">
        <f aca="false">K123/(K123+L123)</f>
        <v>0.802819141655254</v>
      </c>
      <c r="S123" s="24" t="n">
        <f aca="false">M123/(M123+N123)</f>
        <v>0.720430472904169</v>
      </c>
      <c r="T123" s="24" t="n">
        <f aca="false">J123/G123</f>
        <v>0.338463492112357</v>
      </c>
      <c r="U123" s="21" t="n">
        <f aca="false">IF(AND(A123&gt;=Seasonality!$C$4,A123&lt;=Seasonality!$C$5),1,0)</f>
        <v>0</v>
      </c>
    </row>
    <row r="124" customFormat="false" ht="15" hidden="false" customHeight="false" outlineLevel="0" collapsed="false">
      <c r="A124" s="20" t="n">
        <v>44197</v>
      </c>
      <c r="B124" s="21" t="s">
        <v>227</v>
      </c>
      <c r="C124" s="21" t="s">
        <v>48</v>
      </c>
      <c r="D124" s="21" t="s">
        <v>77</v>
      </c>
      <c r="E124" s="21" t="s">
        <v>104</v>
      </c>
      <c r="F124" s="22" t="n">
        <v>1310806</v>
      </c>
      <c r="G124" s="22" t="n">
        <v>941194</v>
      </c>
      <c r="H124" s="22" t="n">
        <v>343868</v>
      </c>
      <c r="I124" s="22" t="n">
        <v>445600</v>
      </c>
      <c r="J124" s="22" t="n">
        <v>343534</v>
      </c>
      <c r="K124" s="22" t="n">
        <v>912775</v>
      </c>
      <c r="L124" s="22" t="n">
        <v>249811</v>
      </c>
      <c r="M124" s="22" t="n">
        <v>578346</v>
      </c>
      <c r="N124" s="22" t="n">
        <v>247232</v>
      </c>
      <c r="O124" s="22" t="n">
        <v>3825</v>
      </c>
      <c r="P124" s="23" t="n">
        <v>1</v>
      </c>
      <c r="Q124" s="23" t="n">
        <v>0</v>
      </c>
      <c r="R124" s="24" t="n">
        <f aca="false">K124/(K124+L124)</f>
        <v>0.785124713354539</v>
      </c>
      <c r="S124" s="24" t="n">
        <f aca="false">M124/(M124+N124)</f>
        <v>0.700534655719993</v>
      </c>
      <c r="T124" s="24" t="n">
        <f aca="false">J124/G124</f>
        <v>0.364998076910818</v>
      </c>
      <c r="U124" s="21" t="n">
        <f aca="false">IF(AND(A124&gt;=Seasonality!$C$4,A124&lt;=Seasonality!$C$5),1,0)</f>
        <v>0</v>
      </c>
    </row>
    <row r="125" customFormat="false" ht="15" hidden="false" customHeight="false" outlineLevel="0" collapsed="false">
      <c r="A125" s="20" t="n">
        <v>44228</v>
      </c>
      <c r="B125" s="21" t="s">
        <v>228</v>
      </c>
      <c r="C125" s="21" t="s">
        <v>48</v>
      </c>
      <c r="D125" s="21" t="s">
        <v>78</v>
      </c>
      <c r="E125" s="21" t="s">
        <v>104</v>
      </c>
      <c r="F125" s="22" t="n">
        <v>1278091</v>
      </c>
      <c r="G125" s="22" t="n">
        <v>903771</v>
      </c>
      <c r="H125" s="22" t="n">
        <v>346348</v>
      </c>
      <c r="I125" s="22" t="n">
        <v>422424</v>
      </c>
      <c r="J125" s="22" t="n">
        <v>318460</v>
      </c>
      <c r="K125" s="22" t="n">
        <v>951715</v>
      </c>
      <c r="L125" s="22" t="n">
        <v>182335</v>
      </c>
      <c r="M125" s="22" t="n">
        <v>613071</v>
      </c>
      <c r="N125" s="22" t="n">
        <v>179397</v>
      </c>
      <c r="O125" s="22" t="n">
        <v>1021</v>
      </c>
      <c r="P125" s="23" t="n">
        <v>1</v>
      </c>
      <c r="Q125" s="23" t="n">
        <v>0</v>
      </c>
      <c r="R125" s="24" t="n">
        <f aca="false">K125/(K125+L125)</f>
        <v>0.839217847537587</v>
      </c>
      <c r="S125" s="24" t="n">
        <f aca="false">M125/(M125+N125)</f>
        <v>0.773622404942534</v>
      </c>
      <c r="T125" s="24" t="n">
        <f aca="false">J125/G125</f>
        <v>0.352368022430461</v>
      </c>
      <c r="U125" s="21" t="n">
        <f aca="false">IF(AND(A125&gt;=Seasonality!$C$4,A125&lt;=Seasonality!$C$5),1,0)</f>
        <v>0</v>
      </c>
    </row>
    <row r="126" customFormat="false" ht="15" hidden="false" customHeight="false" outlineLevel="0" collapsed="false">
      <c r="A126" s="20" t="n">
        <v>44256</v>
      </c>
      <c r="B126" s="21" t="s">
        <v>229</v>
      </c>
      <c r="C126" s="21" t="s">
        <v>48</v>
      </c>
      <c r="D126" s="21" t="s">
        <v>79</v>
      </c>
      <c r="E126" s="21" t="s">
        <v>108</v>
      </c>
      <c r="F126" s="22" t="n">
        <v>1691282</v>
      </c>
      <c r="G126" s="22" t="n">
        <v>1161079</v>
      </c>
      <c r="H126" s="22" t="n">
        <v>494547</v>
      </c>
      <c r="I126" s="22" t="n">
        <v>503926</v>
      </c>
      <c r="J126" s="22" t="n">
        <v>375926</v>
      </c>
      <c r="K126" s="22" t="n">
        <v>1294748</v>
      </c>
      <c r="L126" s="22" t="n">
        <v>208329</v>
      </c>
      <c r="M126" s="22" t="n">
        <v>815451</v>
      </c>
      <c r="N126" s="22" t="n">
        <v>203015</v>
      </c>
      <c r="O126" s="22" t="n">
        <v>688</v>
      </c>
      <c r="P126" s="23" t="n">
        <v>1</v>
      </c>
      <c r="Q126" s="23" t="n">
        <v>0</v>
      </c>
      <c r="R126" s="24" t="n">
        <f aca="false">K126/(K126+L126)</f>
        <v>0.86139831824983</v>
      </c>
      <c r="S126" s="24" t="n">
        <f aca="false">M126/(M126+N126)</f>
        <v>0.800665903427311</v>
      </c>
      <c r="T126" s="24" t="n">
        <f aca="false">J126/G126</f>
        <v>0.323772973242992</v>
      </c>
      <c r="U126" s="21" t="n">
        <f aca="false">IF(AND(A126&gt;=Seasonality!$C$4,A126&lt;=Seasonality!$C$5),1,0)</f>
        <v>0</v>
      </c>
    </row>
    <row r="127" customFormat="false" ht="15" hidden="false" customHeight="false" outlineLevel="0" collapsed="false">
      <c r="A127" s="20" t="n">
        <v>44287</v>
      </c>
      <c r="B127" s="21" t="s">
        <v>230</v>
      </c>
      <c r="C127" s="21" t="s">
        <v>49</v>
      </c>
      <c r="D127" s="21" t="s">
        <v>80</v>
      </c>
      <c r="E127" s="21" t="s">
        <v>108</v>
      </c>
      <c r="F127" s="22" t="n">
        <v>1866232</v>
      </c>
      <c r="G127" s="22" t="n">
        <v>1259266</v>
      </c>
      <c r="H127" s="22" t="n">
        <v>571603</v>
      </c>
      <c r="I127" s="22" t="n">
        <v>510262</v>
      </c>
      <c r="J127" s="22" t="n">
        <v>385748</v>
      </c>
      <c r="K127" s="22" t="n">
        <v>1415993</v>
      </c>
      <c r="L127" s="22" t="n">
        <v>242921</v>
      </c>
      <c r="M127" s="22" t="n">
        <v>868744</v>
      </c>
      <c r="N127" s="22" t="n">
        <v>234255</v>
      </c>
      <c r="O127" s="22" t="n">
        <v>526</v>
      </c>
      <c r="P127" s="23" t="n">
        <v>1</v>
      </c>
      <c r="Q127" s="23" t="n">
        <v>0</v>
      </c>
      <c r="R127" s="24" t="n">
        <f aca="false">K127/(K127+L127)</f>
        <v>0.853566248762745</v>
      </c>
      <c r="S127" s="24" t="n">
        <f aca="false">M127/(M127+N127)</f>
        <v>0.787619934378907</v>
      </c>
      <c r="T127" s="24" t="n">
        <f aca="false">J127/G127</f>
        <v>0.306327654363733</v>
      </c>
      <c r="U127" s="21" t="n">
        <f aca="false">IF(AND(A127&gt;=Seasonality!$C$4,A127&lt;=Seasonality!$C$5),1,0)</f>
        <v>0</v>
      </c>
    </row>
    <row r="128" customFormat="false" ht="15" hidden="false" customHeight="false" outlineLevel="0" collapsed="false">
      <c r="A128" s="20" t="n">
        <v>44317</v>
      </c>
      <c r="B128" s="21" t="s">
        <v>231</v>
      </c>
      <c r="C128" s="21" t="s">
        <v>49</v>
      </c>
      <c r="D128" s="21" t="s">
        <v>81</v>
      </c>
      <c r="E128" s="21" t="s">
        <v>108</v>
      </c>
      <c r="F128" s="22" t="n">
        <v>2075542</v>
      </c>
      <c r="G128" s="22" t="n">
        <v>1396116</v>
      </c>
      <c r="H128" s="22" t="n">
        <v>640679</v>
      </c>
      <c r="I128" s="22" t="n">
        <v>543965</v>
      </c>
      <c r="J128" s="22" t="n">
        <v>411470</v>
      </c>
      <c r="K128" s="22" t="n">
        <v>1544587</v>
      </c>
      <c r="L128" s="22" t="n">
        <v>300908</v>
      </c>
      <c r="M128" s="22" t="n">
        <v>933355</v>
      </c>
      <c r="N128" s="22" t="n">
        <v>289681</v>
      </c>
      <c r="O128" s="22" t="n">
        <v>695</v>
      </c>
      <c r="P128" s="23" t="n">
        <v>1</v>
      </c>
      <c r="Q128" s="23" t="n">
        <v>0</v>
      </c>
      <c r="R128" s="24" t="n">
        <f aca="false">K128/(K128+L128)</f>
        <v>0.836949978190133</v>
      </c>
      <c r="S128" s="24" t="n">
        <f aca="false">M128/(M128+N128)</f>
        <v>0.763145974443925</v>
      </c>
      <c r="T128" s="24" t="n">
        <f aca="false">J128/G128</f>
        <v>0.294724793641789</v>
      </c>
      <c r="U128" s="21" t="n">
        <f aca="false">IF(AND(A128&gt;=Seasonality!$C$4,A128&lt;=Seasonality!$C$5),1,0)</f>
        <v>0</v>
      </c>
    </row>
    <row r="129" customFormat="false" ht="15" hidden="false" customHeight="false" outlineLevel="0" collapsed="false">
      <c r="A129" s="20" t="n">
        <v>44348</v>
      </c>
      <c r="B129" s="21" t="s">
        <v>232</v>
      </c>
      <c r="C129" s="21" t="s">
        <v>49</v>
      </c>
      <c r="D129" s="21" t="s">
        <v>82</v>
      </c>
      <c r="E129" s="21" t="s">
        <v>112</v>
      </c>
      <c r="F129" s="22" t="n">
        <v>2157132</v>
      </c>
      <c r="G129" s="22" t="n">
        <v>1436111</v>
      </c>
      <c r="H129" s="22" t="n">
        <v>681859</v>
      </c>
      <c r="I129" s="22" t="n">
        <v>535402</v>
      </c>
      <c r="J129" s="22" t="n">
        <v>401052</v>
      </c>
      <c r="K129" s="22" t="n">
        <v>1559797</v>
      </c>
      <c r="L129" s="22" t="n">
        <v>358838</v>
      </c>
      <c r="M129" s="22" t="n">
        <v>920100</v>
      </c>
      <c r="N129" s="22" t="n">
        <v>337587</v>
      </c>
      <c r="O129" s="22" t="n">
        <v>1289</v>
      </c>
      <c r="P129" s="23" t="n">
        <v>1</v>
      </c>
      <c r="Q129" s="23" t="n">
        <v>0</v>
      </c>
      <c r="R129" s="24" t="n">
        <f aca="false">K129/(K129+L129)</f>
        <v>0.812972243287546</v>
      </c>
      <c r="S129" s="24" t="n">
        <f aca="false">M129/(M129+N129)</f>
        <v>0.731581069057723</v>
      </c>
      <c r="T129" s="24" t="n">
        <f aca="false">J129/G129</f>
        <v>0.279262536113156</v>
      </c>
      <c r="U129" s="21" t="n">
        <f aca="false">IF(AND(A129&gt;=Seasonality!$C$4,A129&lt;=Seasonality!$C$5),1,0)</f>
        <v>0</v>
      </c>
    </row>
    <row r="130" customFormat="false" ht="15" hidden="false" customHeight="false" outlineLevel="0" collapsed="false">
      <c r="A130" s="20" t="n">
        <v>44378</v>
      </c>
      <c r="B130" s="21" t="s">
        <v>233</v>
      </c>
      <c r="C130" s="21" t="s">
        <v>49</v>
      </c>
      <c r="D130" s="21" t="s">
        <v>83</v>
      </c>
      <c r="E130" s="21" t="s">
        <v>112</v>
      </c>
      <c r="F130" s="22" t="n">
        <v>2160128</v>
      </c>
      <c r="G130" s="22" t="n">
        <v>1430733</v>
      </c>
      <c r="H130" s="22" t="n">
        <v>690082</v>
      </c>
      <c r="I130" s="22" t="n">
        <v>532712</v>
      </c>
      <c r="J130" s="22" t="n">
        <v>402085</v>
      </c>
      <c r="K130" s="22" t="n">
        <v>1493118</v>
      </c>
      <c r="L130" s="22" t="n">
        <v>428003</v>
      </c>
      <c r="M130" s="22" t="n">
        <v>846949</v>
      </c>
      <c r="N130" s="22" t="n">
        <v>405163</v>
      </c>
      <c r="O130" s="22" t="n">
        <v>2208</v>
      </c>
      <c r="P130" s="23" t="n">
        <v>1</v>
      </c>
      <c r="Q130" s="23" t="n">
        <v>0</v>
      </c>
      <c r="R130" s="24" t="n">
        <f aca="false">K130/(K130+L130)</f>
        <v>0.777211846624965</v>
      </c>
      <c r="S130" s="24" t="n">
        <f aca="false">M130/(M130+N130)</f>
        <v>0.676416326973945</v>
      </c>
      <c r="T130" s="24" t="n">
        <f aca="false">J130/G130</f>
        <v>0.281034267050526</v>
      </c>
      <c r="U130" s="21" t="n">
        <f aca="false">IF(AND(A130&gt;=Seasonality!$C$4,A130&lt;=Seasonality!$C$5),1,0)</f>
        <v>0</v>
      </c>
    </row>
    <row r="131" customFormat="false" ht="15" hidden="false" customHeight="false" outlineLevel="0" collapsed="false">
      <c r="A131" s="20" t="n">
        <v>44409</v>
      </c>
      <c r="B131" s="21" t="s">
        <v>234</v>
      </c>
      <c r="C131" s="21" t="s">
        <v>49</v>
      </c>
      <c r="D131" s="21" t="s">
        <v>84</v>
      </c>
      <c r="E131" s="21" t="s">
        <v>112</v>
      </c>
      <c r="F131" s="22" t="n">
        <v>2035967</v>
      </c>
      <c r="G131" s="22" t="n">
        <v>1341757</v>
      </c>
      <c r="H131" s="22" t="n">
        <v>654346</v>
      </c>
      <c r="I131" s="22" t="n">
        <v>503886</v>
      </c>
      <c r="J131" s="22" t="n">
        <v>381911</v>
      </c>
      <c r="K131" s="22" t="n">
        <v>1394938</v>
      </c>
      <c r="L131" s="22" t="n">
        <v>416277</v>
      </c>
      <c r="M131" s="22" t="n">
        <v>777084</v>
      </c>
      <c r="N131" s="22" t="n">
        <v>397235</v>
      </c>
      <c r="O131" s="22" t="n">
        <v>2787</v>
      </c>
      <c r="P131" s="23" t="n">
        <v>1</v>
      </c>
      <c r="Q131" s="23" t="n">
        <v>0</v>
      </c>
      <c r="R131" s="24" t="n">
        <f aca="false">K131/(K131+L131)</f>
        <v>0.770166987353793</v>
      </c>
      <c r="S131" s="24" t="n">
        <f aca="false">M131/(M131+N131)</f>
        <v>0.661731607851018</v>
      </c>
      <c r="T131" s="24" t="n">
        <f aca="false">J131/G131</f>
        <v>0.284634997246148</v>
      </c>
      <c r="U131" s="21" t="n">
        <f aca="false">IF(AND(A131&gt;=Seasonality!$C$4,A131&lt;=Seasonality!$C$5),1,0)</f>
        <v>0</v>
      </c>
    </row>
    <row r="132" customFormat="false" ht="15" hidden="false" customHeight="false" outlineLevel="0" collapsed="false">
      <c r="A132" s="20" t="n">
        <v>44440</v>
      </c>
      <c r="B132" s="21" t="s">
        <v>235</v>
      </c>
      <c r="C132" s="21" t="s">
        <v>49</v>
      </c>
      <c r="D132" s="21" t="s">
        <v>85</v>
      </c>
      <c r="E132" s="21" t="s">
        <v>102</v>
      </c>
      <c r="F132" s="22" t="n">
        <v>2127204</v>
      </c>
      <c r="G132" s="22" t="n">
        <v>1392405</v>
      </c>
      <c r="H132" s="22" t="n">
        <v>694296</v>
      </c>
      <c r="I132" s="22" t="n">
        <v>507086</v>
      </c>
      <c r="J132" s="22" t="n">
        <v>379118</v>
      </c>
      <c r="K132" s="22" t="n">
        <v>1421153</v>
      </c>
      <c r="L132" s="22" t="n">
        <v>468210</v>
      </c>
      <c r="M132" s="22" t="n">
        <v>778556</v>
      </c>
      <c r="N132" s="22" t="n">
        <v>438530</v>
      </c>
      <c r="O132" s="22" t="n">
        <v>5024</v>
      </c>
      <c r="P132" s="23" t="n">
        <v>1</v>
      </c>
      <c r="Q132" s="23" t="n">
        <v>0</v>
      </c>
      <c r="R132" s="24" t="n">
        <f aca="false">K132/(K132+L132)</f>
        <v>0.75218631888102</v>
      </c>
      <c r="S132" s="24" t="n">
        <f aca="false">M132/(M132+N132)</f>
        <v>0.639688567611492</v>
      </c>
      <c r="T132" s="24" t="n">
        <f aca="false">J132/G132</f>
        <v>0.272275666921621</v>
      </c>
      <c r="U132" s="21" t="n">
        <f aca="false">IF(AND(A132&gt;=Seasonality!$C$4,A132&lt;=Seasonality!$C$5),1,0)</f>
        <v>0</v>
      </c>
    </row>
    <row r="133" customFormat="false" ht="15" hidden="false" customHeight="false" outlineLevel="0" collapsed="false">
      <c r="A133" s="20" t="n">
        <v>44470</v>
      </c>
      <c r="B133" s="21" t="s">
        <v>236</v>
      </c>
      <c r="C133" s="21" t="s">
        <v>49</v>
      </c>
      <c r="D133" s="21" t="s">
        <v>86</v>
      </c>
      <c r="E133" s="21" t="s">
        <v>102</v>
      </c>
      <c r="F133" s="22" t="n">
        <v>2164802</v>
      </c>
      <c r="G133" s="22" t="n">
        <v>1419010</v>
      </c>
      <c r="H133" s="22" t="n">
        <v>706091</v>
      </c>
      <c r="I133" s="22" t="n">
        <v>517183</v>
      </c>
      <c r="J133" s="22" t="n">
        <v>389169</v>
      </c>
      <c r="K133" s="22" t="n">
        <v>1422881</v>
      </c>
      <c r="L133" s="22" t="n">
        <v>501642</v>
      </c>
      <c r="M133" s="22" t="n">
        <v>768883</v>
      </c>
      <c r="N133" s="22" t="n">
        <v>472548</v>
      </c>
      <c r="O133" s="22" t="n">
        <v>7058</v>
      </c>
      <c r="P133" s="23" t="n">
        <v>1</v>
      </c>
      <c r="Q133" s="23" t="n">
        <v>0</v>
      </c>
      <c r="R133" s="24" t="n">
        <f aca="false">K133/(K133+L133)</f>
        <v>0.739342164266158</v>
      </c>
      <c r="S133" s="24" t="n">
        <f aca="false">M133/(M133+N133)</f>
        <v>0.619352183085488</v>
      </c>
      <c r="T133" s="24" t="n">
        <f aca="false">J133/G133</f>
        <v>0.274253881227053</v>
      </c>
      <c r="U133" s="21" t="n">
        <f aca="false">IF(AND(A133&gt;=Seasonality!$C$4,A133&lt;=Seasonality!$C$5),1,0)</f>
        <v>0</v>
      </c>
    </row>
    <row r="134" customFormat="false" ht="15" hidden="false" customHeight="false" outlineLevel="0" collapsed="false">
      <c r="A134" s="20" t="n">
        <v>44501</v>
      </c>
      <c r="B134" s="21" t="s">
        <v>237</v>
      </c>
      <c r="C134" s="21" t="s">
        <v>49</v>
      </c>
      <c r="D134" s="21" t="s">
        <v>87</v>
      </c>
      <c r="E134" s="21" t="s">
        <v>102</v>
      </c>
      <c r="F134" s="22" t="n">
        <v>2037955</v>
      </c>
      <c r="G134" s="22" t="n">
        <v>1336830</v>
      </c>
      <c r="H134" s="22" t="n">
        <v>662100</v>
      </c>
      <c r="I134" s="22" t="n">
        <v>506242</v>
      </c>
      <c r="J134" s="22" t="n">
        <v>374964</v>
      </c>
      <c r="K134" s="22" t="n">
        <v>1344752</v>
      </c>
      <c r="L134" s="22" t="n">
        <v>470980</v>
      </c>
      <c r="M134" s="22" t="n">
        <v>724210</v>
      </c>
      <c r="N134" s="22" t="n">
        <v>445743</v>
      </c>
      <c r="O134" s="22" t="n">
        <v>10646</v>
      </c>
      <c r="P134" s="23" t="n">
        <v>1</v>
      </c>
      <c r="Q134" s="23" t="n">
        <v>0</v>
      </c>
      <c r="R134" s="24" t="n">
        <f aca="false">K134/(K134+L134)</f>
        <v>0.740611499935012</v>
      </c>
      <c r="S134" s="24" t="n">
        <f aca="false">M134/(M134+N134)</f>
        <v>0.619007772107085</v>
      </c>
      <c r="T134" s="24" t="n">
        <f aca="false">J134/G134</f>
        <v>0.280487421736496</v>
      </c>
      <c r="U134" s="21" t="n">
        <f aca="false">IF(AND(A134&gt;=Seasonality!$C$4,A134&lt;=Seasonality!$C$5),1,0)</f>
        <v>0</v>
      </c>
    </row>
    <row r="135" customFormat="false" ht="15" hidden="false" customHeight="false" outlineLevel="0" collapsed="false">
      <c r="A135" s="20" t="n">
        <v>44531</v>
      </c>
      <c r="B135" s="21" t="s">
        <v>238</v>
      </c>
      <c r="C135" s="21" t="s">
        <v>49</v>
      </c>
      <c r="D135" s="21" t="s">
        <v>88</v>
      </c>
      <c r="E135" s="21" t="s">
        <v>104</v>
      </c>
      <c r="F135" s="22" t="n">
        <v>1874642</v>
      </c>
      <c r="G135" s="22" t="n">
        <v>1250568</v>
      </c>
      <c r="H135" s="22" t="n">
        <v>589161</v>
      </c>
      <c r="I135" s="22" t="n">
        <v>499055</v>
      </c>
      <c r="J135" s="22" t="n">
        <v>370950</v>
      </c>
      <c r="K135" s="22" t="n">
        <v>1225087</v>
      </c>
      <c r="L135" s="22" t="n">
        <v>443247</v>
      </c>
      <c r="M135" s="22" t="n">
        <v>669334</v>
      </c>
      <c r="N135" s="22" t="n">
        <v>423880</v>
      </c>
      <c r="O135" s="22" t="n">
        <v>12859</v>
      </c>
      <c r="P135" s="23" t="n">
        <v>1</v>
      </c>
      <c r="Q135" s="23" t="n">
        <v>0</v>
      </c>
      <c r="R135" s="24" t="n">
        <f aca="false">K135/(K135+L135)</f>
        <v>0.73431758868428</v>
      </c>
      <c r="S135" s="24" t="n">
        <f aca="false">M135/(M135+N135)</f>
        <v>0.61226255792553</v>
      </c>
      <c r="T135" s="24" t="n">
        <f aca="false">J135/G135</f>
        <v>0.296625213502984</v>
      </c>
      <c r="U135" s="21" t="n">
        <f aca="false">IF(AND(A135&gt;=Seasonality!$C$4,A135&lt;=Seasonality!$C$5),1,0)</f>
        <v>0</v>
      </c>
    </row>
    <row r="136" customFormat="false" ht="15" hidden="false" customHeight="false" outlineLevel="0" collapsed="false">
      <c r="A136" s="20" t="n">
        <v>44562</v>
      </c>
      <c r="B136" s="21" t="s">
        <v>239</v>
      </c>
      <c r="C136" s="21" t="s">
        <v>49</v>
      </c>
      <c r="D136" s="21" t="s">
        <v>77</v>
      </c>
      <c r="E136" s="21" t="s">
        <v>104</v>
      </c>
      <c r="F136" s="22" t="n">
        <v>1875202</v>
      </c>
      <c r="G136" s="22" t="n">
        <v>1247417</v>
      </c>
      <c r="H136" s="22" t="n">
        <v>591228</v>
      </c>
      <c r="I136" s="22" t="n">
        <v>484952</v>
      </c>
      <c r="J136" s="22" t="n">
        <v>358968</v>
      </c>
      <c r="K136" s="22" t="n">
        <v>1239427</v>
      </c>
      <c r="L136" s="22" t="n">
        <v>427604</v>
      </c>
      <c r="M136" s="22" t="n">
        <v>678684</v>
      </c>
      <c r="N136" s="22" t="n">
        <v>410646</v>
      </c>
      <c r="O136" s="22" t="n">
        <v>16564</v>
      </c>
      <c r="P136" s="23" t="n">
        <v>1</v>
      </c>
      <c r="Q136" s="23" t="n">
        <v>0</v>
      </c>
      <c r="R136" s="24" t="n">
        <f aca="false">K136/(K136+L136)</f>
        <v>0.743493672283239</v>
      </c>
      <c r="S136" s="24" t="n">
        <f aca="false">M136/(M136+N136)</f>
        <v>0.623028834237559</v>
      </c>
      <c r="T136" s="24" t="n">
        <f aca="false">J136/G136</f>
        <v>0.287769045956565</v>
      </c>
      <c r="U136" s="21" t="n">
        <f aca="false">IF(AND(A136&gt;=Seasonality!$C$4,A136&lt;=Seasonality!$C$5),1,0)</f>
        <v>0</v>
      </c>
    </row>
    <row r="137" customFormat="false" ht="15" hidden="false" customHeight="false" outlineLevel="0" collapsed="false">
      <c r="A137" s="20" t="n">
        <v>44593</v>
      </c>
      <c r="B137" s="21" t="s">
        <v>240</v>
      </c>
      <c r="C137" s="21" t="s">
        <v>49</v>
      </c>
      <c r="D137" s="21" t="s">
        <v>78</v>
      </c>
      <c r="E137" s="21" t="s">
        <v>104</v>
      </c>
      <c r="F137" s="22" t="n">
        <v>1825363</v>
      </c>
      <c r="G137" s="22" t="n">
        <v>1205820</v>
      </c>
      <c r="H137" s="22" t="n">
        <v>581573</v>
      </c>
      <c r="I137" s="22" t="n">
        <v>459952</v>
      </c>
      <c r="J137" s="22" t="n">
        <v>334835</v>
      </c>
      <c r="K137" s="22" t="n">
        <v>1189675</v>
      </c>
      <c r="L137" s="22" t="n">
        <v>433787</v>
      </c>
      <c r="M137" s="22" t="n">
        <v>641197</v>
      </c>
      <c r="N137" s="22" t="n">
        <v>412179</v>
      </c>
      <c r="O137" s="22" t="n">
        <v>16402</v>
      </c>
      <c r="P137" s="23" t="n">
        <v>1</v>
      </c>
      <c r="Q137" s="23" t="n">
        <v>0</v>
      </c>
      <c r="R137" s="24" t="n">
        <f aca="false">K137/(K137+L137)</f>
        <v>0.732801260516107</v>
      </c>
      <c r="S137" s="24" t="n">
        <f aca="false">M137/(M137+N137)</f>
        <v>0.608706672641108</v>
      </c>
      <c r="T137" s="24" t="n">
        <f aca="false">J137/G137</f>
        <v>0.277682406992752</v>
      </c>
      <c r="U137" s="21" t="n">
        <f aca="false">IF(AND(A137&gt;=Seasonality!$C$4,A137&lt;=Seasonality!$C$5),1,0)</f>
        <v>0</v>
      </c>
    </row>
    <row r="138" customFormat="false" ht="15" hidden="false" customHeight="false" outlineLevel="0" collapsed="false">
      <c r="A138" s="20" t="n">
        <v>44621</v>
      </c>
      <c r="B138" s="21" t="s">
        <v>241</v>
      </c>
      <c r="C138" s="21" t="s">
        <v>49</v>
      </c>
      <c r="D138" s="21" t="s">
        <v>79</v>
      </c>
      <c r="E138" s="21" t="s">
        <v>108</v>
      </c>
      <c r="F138" s="22" t="n">
        <v>2174798</v>
      </c>
      <c r="G138" s="22" t="n">
        <v>1421526</v>
      </c>
      <c r="H138" s="22" t="n">
        <v>711362</v>
      </c>
      <c r="I138" s="22" t="n">
        <v>514255</v>
      </c>
      <c r="J138" s="22" t="n">
        <v>374562</v>
      </c>
      <c r="K138" s="22" t="n">
        <v>1388093</v>
      </c>
      <c r="L138" s="22" t="n">
        <v>549773</v>
      </c>
      <c r="M138" s="22" t="n">
        <v>729899</v>
      </c>
      <c r="N138" s="22" t="n">
        <v>514135</v>
      </c>
      <c r="O138" s="22" t="n">
        <v>22506</v>
      </c>
      <c r="P138" s="23" t="n">
        <v>1</v>
      </c>
      <c r="Q138" s="23" t="n">
        <v>0</v>
      </c>
      <c r="R138" s="24" t="n">
        <f aca="false">K138/(K138+L138)</f>
        <v>0.716299785434081</v>
      </c>
      <c r="S138" s="24" t="n">
        <f aca="false">M138/(M138+N138)</f>
        <v>0.586719494804804</v>
      </c>
      <c r="T138" s="24" t="n">
        <f aca="false">J138/G138</f>
        <v>0.263492894255891</v>
      </c>
      <c r="U138" s="21" t="n">
        <f aca="false">IF(AND(A138&gt;=Seasonality!$C$4,A138&lt;=Seasonality!$C$5),1,0)</f>
        <v>0</v>
      </c>
    </row>
    <row r="139" customFormat="false" ht="15" hidden="false" customHeight="false" outlineLevel="0" collapsed="false">
      <c r="A139" s="20" t="n">
        <v>44652</v>
      </c>
      <c r="B139" s="21" t="s">
        <v>242</v>
      </c>
      <c r="C139" s="21" t="s">
        <v>50</v>
      </c>
      <c r="D139" s="21" t="s">
        <v>80</v>
      </c>
      <c r="E139" s="21" t="s">
        <v>108</v>
      </c>
      <c r="F139" s="22" t="n">
        <v>2028796</v>
      </c>
      <c r="G139" s="22" t="n">
        <v>1312380</v>
      </c>
      <c r="H139" s="22" t="n">
        <v>678518</v>
      </c>
      <c r="I139" s="22" t="n">
        <v>479779</v>
      </c>
      <c r="J139" s="22" t="n">
        <v>352982</v>
      </c>
      <c r="K139" s="22" t="n">
        <v>1311452</v>
      </c>
      <c r="L139" s="22" t="n">
        <v>503748</v>
      </c>
      <c r="M139" s="22" t="n">
        <v>679866</v>
      </c>
      <c r="N139" s="22" t="n">
        <v>472636</v>
      </c>
      <c r="O139" s="22" t="n">
        <v>24179</v>
      </c>
      <c r="P139" s="23" t="n">
        <v>1</v>
      </c>
      <c r="Q139" s="23" t="n">
        <v>0</v>
      </c>
      <c r="R139" s="24" t="n">
        <f aca="false">K139/(K139+L139)</f>
        <v>0.722483472895549</v>
      </c>
      <c r="S139" s="24" t="n">
        <f aca="false">M139/(M139+N139)</f>
        <v>0.589904399298223</v>
      </c>
      <c r="T139" s="24" t="n">
        <f aca="false">J139/G139</f>
        <v>0.268963257593075</v>
      </c>
      <c r="U139" s="21" t="n">
        <f aca="false">IF(AND(A139&gt;=Seasonality!$C$4,A139&lt;=Seasonality!$C$5),1,0)</f>
        <v>1</v>
      </c>
    </row>
    <row r="140" customFormat="false" ht="15" hidden="false" customHeight="false" outlineLevel="0" collapsed="false">
      <c r="A140" s="20" t="n">
        <v>44682</v>
      </c>
      <c r="B140" s="21" t="s">
        <v>243</v>
      </c>
      <c r="C140" s="21" t="s">
        <v>50</v>
      </c>
      <c r="D140" s="21" t="s">
        <v>81</v>
      </c>
      <c r="E140" s="21" t="s">
        <v>108</v>
      </c>
      <c r="F140" s="22" t="n">
        <v>2233053</v>
      </c>
      <c r="G140" s="22" t="n">
        <v>1437421</v>
      </c>
      <c r="H140" s="22" t="n">
        <v>753758</v>
      </c>
      <c r="I140" s="22" t="n">
        <v>517711</v>
      </c>
      <c r="J140" s="22" t="n">
        <v>377496</v>
      </c>
      <c r="K140" s="22" t="n">
        <v>1452388</v>
      </c>
      <c r="L140" s="22" t="n">
        <v>541689</v>
      </c>
      <c r="M140" s="22" t="n">
        <v>756611</v>
      </c>
      <c r="N140" s="22" t="n">
        <v>503222</v>
      </c>
      <c r="O140" s="22" t="n">
        <v>19657</v>
      </c>
      <c r="P140" s="23" t="n">
        <v>1</v>
      </c>
      <c r="Q140" s="23" t="n">
        <v>0</v>
      </c>
      <c r="R140" s="24" t="n">
        <f aca="false">K140/(K140+L140)</f>
        <v>0.728351011520618</v>
      </c>
      <c r="S140" s="24" t="n">
        <f aca="false">M140/(M140+N140)</f>
        <v>0.600564519265649</v>
      </c>
      <c r="T140" s="24" t="n">
        <f aca="false">J140/G140</f>
        <v>0.262620345744218</v>
      </c>
      <c r="U140" s="21" t="n">
        <f aca="false">IF(AND(A140&gt;=Seasonality!$C$4,A140&lt;=Seasonality!$C$5),1,0)</f>
        <v>1</v>
      </c>
    </row>
    <row r="141" customFormat="false" ht="15" hidden="false" customHeight="false" outlineLevel="0" collapsed="false">
      <c r="A141" s="20" t="n">
        <v>44713</v>
      </c>
      <c r="B141" s="21" t="s">
        <v>244</v>
      </c>
      <c r="C141" s="21" t="s">
        <v>50</v>
      </c>
      <c r="D141" s="21" t="s">
        <v>82</v>
      </c>
      <c r="E141" s="21" t="s">
        <v>112</v>
      </c>
      <c r="F141" s="22" t="n">
        <v>2191691</v>
      </c>
      <c r="G141" s="22" t="n">
        <v>1400664</v>
      </c>
      <c r="H141" s="22" t="n">
        <v>750117</v>
      </c>
      <c r="I141" s="22" t="n">
        <v>503048</v>
      </c>
      <c r="J141" s="22" t="n">
        <v>366684</v>
      </c>
      <c r="K141" s="22" t="n">
        <v>1409139</v>
      </c>
      <c r="L141" s="22" t="n">
        <v>546401</v>
      </c>
      <c r="M141" s="22" t="n">
        <v>720645</v>
      </c>
      <c r="N141" s="22" t="n">
        <v>506218</v>
      </c>
      <c r="O141" s="22" t="n">
        <v>22017</v>
      </c>
      <c r="P141" s="23" t="n">
        <v>1</v>
      </c>
      <c r="Q141" s="23" t="n">
        <v>0</v>
      </c>
      <c r="R141" s="24" t="n">
        <f aca="false">K141/(K141+L141)</f>
        <v>0.720588175133211</v>
      </c>
      <c r="S141" s="24" t="n">
        <f aca="false">M141/(M141+N141)</f>
        <v>0.587388322901579</v>
      </c>
      <c r="T141" s="24" t="n">
        <f aca="false">J141/G141</f>
        <v>0.261792978187488</v>
      </c>
      <c r="U141" s="21" t="n">
        <f aca="false">IF(AND(A141&gt;=Seasonality!$C$4,A141&lt;=Seasonality!$C$5),1,0)</f>
        <v>1</v>
      </c>
    </row>
    <row r="142" customFormat="false" ht="15" hidden="false" customHeight="false" outlineLevel="0" collapsed="false">
      <c r="A142" s="20" t="n">
        <v>44743</v>
      </c>
      <c r="B142" s="21" t="s">
        <v>245</v>
      </c>
      <c r="C142" s="21" t="s">
        <v>50</v>
      </c>
      <c r="D142" s="21" t="s">
        <v>83</v>
      </c>
      <c r="E142" s="21" t="s">
        <v>112</v>
      </c>
      <c r="F142" s="22" t="n">
        <v>2181655</v>
      </c>
      <c r="G142" s="22" t="n">
        <v>1397083</v>
      </c>
      <c r="H142" s="22" t="n">
        <v>744940</v>
      </c>
      <c r="I142" s="22" t="n">
        <v>497099</v>
      </c>
      <c r="J142" s="22" t="n">
        <v>362027</v>
      </c>
      <c r="K142" s="22" t="n">
        <v>1384730</v>
      </c>
      <c r="L142" s="22" t="n">
        <v>563450</v>
      </c>
      <c r="M142" s="22" t="n">
        <v>698972</v>
      </c>
      <c r="N142" s="22" t="n">
        <v>524161</v>
      </c>
      <c r="O142" s="22" t="n">
        <v>29139</v>
      </c>
      <c r="P142" s="23" t="n">
        <v>1</v>
      </c>
      <c r="Q142" s="23" t="n">
        <v>0</v>
      </c>
      <c r="R142" s="24" t="n">
        <f aca="false">K142/(K142+L142)</f>
        <v>0.710781344639612</v>
      </c>
      <c r="S142" s="24" t="n">
        <f aca="false">M142/(M142+N142)</f>
        <v>0.571460339963029</v>
      </c>
      <c r="T142" s="24" t="n">
        <f aca="false">J142/G142</f>
        <v>0.259130631465704</v>
      </c>
      <c r="U142" s="21" t="n">
        <f aca="false">IF(AND(A142&gt;=Seasonality!$C$4,A142&lt;=Seasonality!$C$5),1,0)</f>
        <v>1</v>
      </c>
    </row>
    <row r="143" customFormat="false" ht="15" hidden="false" customHeight="false" outlineLevel="0" collapsed="false">
      <c r="A143" s="20" t="n">
        <v>44774</v>
      </c>
      <c r="B143" s="21" t="s">
        <v>246</v>
      </c>
      <c r="C143" s="21" t="s">
        <v>50</v>
      </c>
      <c r="D143" s="21" t="s">
        <v>84</v>
      </c>
      <c r="E143" s="21" t="s">
        <v>112</v>
      </c>
      <c r="F143" s="22" t="n">
        <v>1995679</v>
      </c>
      <c r="G143" s="22" t="n">
        <v>1299083</v>
      </c>
      <c r="H143" s="22" t="n">
        <v>655794</v>
      </c>
      <c r="I143" s="22" t="n">
        <v>482009</v>
      </c>
      <c r="J143" s="22" t="n">
        <v>350562</v>
      </c>
      <c r="K143" s="22" t="n">
        <v>1274849</v>
      </c>
      <c r="L143" s="22" t="n">
        <v>503472</v>
      </c>
      <c r="M143" s="22" t="n">
        <v>660688</v>
      </c>
      <c r="N143" s="22" t="n">
        <v>477571</v>
      </c>
      <c r="O143" s="22" t="n">
        <v>28690</v>
      </c>
      <c r="P143" s="23" t="n">
        <v>1</v>
      </c>
      <c r="Q143" s="23" t="n">
        <v>0</v>
      </c>
      <c r="R143" s="24" t="n">
        <f aca="false">K143/(K143+L143)</f>
        <v>0.716883509782542</v>
      </c>
      <c r="S143" s="24" t="n">
        <f aca="false">M143/(M143+N143)</f>
        <v>0.580437316990246</v>
      </c>
      <c r="T143" s="24" t="n">
        <f aca="false">J143/G143</f>
        <v>0.269853427379159</v>
      </c>
      <c r="U143" s="21" t="n">
        <f aca="false">IF(AND(A143&gt;=Seasonality!$C$4,A143&lt;=Seasonality!$C$5),1,0)</f>
        <v>1</v>
      </c>
    </row>
    <row r="144" customFormat="false" ht="15" hidden="false" customHeight="false" outlineLevel="0" collapsed="false">
      <c r="A144" s="20" t="n">
        <v>44805</v>
      </c>
      <c r="B144" s="21" t="s">
        <v>247</v>
      </c>
      <c r="C144" s="21" t="s">
        <v>50</v>
      </c>
      <c r="D144" s="21" t="s">
        <v>85</v>
      </c>
      <c r="E144" s="21" t="s">
        <v>102</v>
      </c>
      <c r="F144" s="22" t="n">
        <v>2008489</v>
      </c>
      <c r="G144" s="22" t="n">
        <v>1301611</v>
      </c>
      <c r="H144" s="22" t="n">
        <v>666690</v>
      </c>
      <c r="I144" s="22" t="n">
        <v>487477</v>
      </c>
      <c r="J144" s="22" t="n">
        <v>353779</v>
      </c>
      <c r="K144" s="22" t="n">
        <v>1273698</v>
      </c>
      <c r="L144" s="22" t="n">
        <v>518827</v>
      </c>
      <c r="M144" s="22" t="n">
        <v>649490</v>
      </c>
      <c r="N144" s="22" t="n">
        <v>492015</v>
      </c>
      <c r="O144" s="22" t="n">
        <v>32762</v>
      </c>
      <c r="P144" s="23" t="n">
        <v>1</v>
      </c>
      <c r="Q144" s="23" t="n">
        <v>0</v>
      </c>
      <c r="R144" s="24" t="n">
        <f aca="false">K144/(K144+L144)</f>
        <v>0.710560801104587</v>
      </c>
      <c r="S144" s="24" t="n">
        <f aca="false">M144/(M144+N144)</f>
        <v>0.568976920819445</v>
      </c>
      <c r="T144" s="24" t="n">
        <f aca="false">J144/G144</f>
        <v>0.271800868308581</v>
      </c>
      <c r="U144" s="21" t="n">
        <f aca="false">IF(AND(A144&gt;=Seasonality!$C$4,A144&lt;=Seasonality!$C$5),1,0)</f>
        <v>1</v>
      </c>
    </row>
    <row r="145" customFormat="false" ht="15" hidden="false" customHeight="false" outlineLevel="0" collapsed="false">
      <c r="A145" s="20" t="n">
        <v>44835</v>
      </c>
      <c r="B145" s="21" t="s">
        <v>248</v>
      </c>
      <c r="C145" s="21" t="s">
        <v>50</v>
      </c>
      <c r="D145" s="21" t="s">
        <v>86</v>
      </c>
      <c r="E145" s="21" t="s">
        <v>102</v>
      </c>
      <c r="F145" s="22" t="n">
        <v>2188028</v>
      </c>
      <c r="G145" s="22" t="n">
        <v>1399185</v>
      </c>
      <c r="H145" s="22" t="n">
        <v>747403</v>
      </c>
      <c r="I145" s="22" t="n">
        <v>506847</v>
      </c>
      <c r="J145" s="22" t="n">
        <v>367028</v>
      </c>
      <c r="K145" s="22" t="n">
        <v>1358170</v>
      </c>
      <c r="L145" s="22" t="n">
        <v>595277</v>
      </c>
      <c r="M145" s="22" t="n">
        <v>671834</v>
      </c>
      <c r="N145" s="22" t="n">
        <v>554148</v>
      </c>
      <c r="O145" s="22" t="n">
        <v>43793</v>
      </c>
      <c r="P145" s="23" t="n">
        <v>1</v>
      </c>
      <c r="Q145" s="23" t="n">
        <v>0</v>
      </c>
      <c r="R145" s="24" t="n">
        <f aca="false">K145/(K145+L145)</f>
        <v>0.695268415267985</v>
      </c>
      <c r="S145" s="24" t="n">
        <f aca="false">M145/(M145+N145)</f>
        <v>0.547996626377875</v>
      </c>
      <c r="T145" s="24" t="n">
        <f aca="false">J145/G145</f>
        <v>0.262315562273752</v>
      </c>
      <c r="U145" s="21" t="n">
        <f aca="false">IF(AND(A145&gt;=Seasonality!$C$4,A145&lt;=Seasonality!$C$5),1,0)</f>
        <v>1</v>
      </c>
    </row>
    <row r="146" customFormat="false" ht="15" hidden="false" customHeight="false" outlineLevel="0" collapsed="false">
      <c r="A146" s="20" t="n">
        <v>44866</v>
      </c>
      <c r="B146" s="21" t="s">
        <v>249</v>
      </c>
      <c r="C146" s="21" t="s">
        <v>50</v>
      </c>
      <c r="D146" s="21" t="s">
        <v>87</v>
      </c>
      <c r="E146" s="21" t="s">
        <v>102</v>
      </c>
      <c r="F146" s="22" t="n">
        <v>2178804</v>
      </c>
      <c r="G146" s="22" t="n">
        <v>1395183</v>
      </c>
      <c r="H146" s="22" t="n">
        <v>740977</v>
      </c>
      <c r="I146" s="22" t="n">
        <v>515525</v>
      </c>
      <c r="J146" s="22" t="n">
        <v>368997</v>
      </c>
      <c r="K146" s="22" t="n">
        <v>1341019</v>
      </c>
      <c r="L146" s="22" t="n">
        <v>602145</v>
      </c>
      <c r="M146" s="22" t="n">
        <v>665696</v>
      </c>
      <c r="N146" s="22" t="n">
        <v>555656</v>
      </c>
      <c r="O146" s="22" t="n">
        <v>37853</v>
      </c>
      <c r="P146" s="23" t="n">
        <v>1</v>
      </c>
      <c r="Q146" s="23" t="n">
        <v>0</v>
      </c>
      <c r="R146" s="24" t="n">
        <f aca="false">K146/(K146+L146)</f>
        <v>0.690121369066121</v>
      </c>
      <c r="S146" s="24" t="n">
        <f aca="false">M146/(M146+N146)</f>
        <v>0.545048438124308</v>
      </c>
      <c r="T146" s="24" t="n">
        <f aca="false">J146/G146</f>
        <v>0.264479283362828</v>
      </c>
      <c r="U146" s="21" t="n">
        <f aca="false">IF(AND(A146&gt;=Seasonality!$C$4,A146&lt;=Seasonality!$C$5),1,0)</f>
        <v>1</v>
      </c>
    </row>
    <row r="147" customFormat="false" ht="15" hidden="false" customHeight="false" outlineLevel="0" collapsed="false">
      <c r="A147" s="20" t="n">
        <v>44896</v>
      </c>
      <c r="B147" s="21" t="s">
        <v>250</v>
      </c>
      <c r="C147" s="21" t="s">
        <v>50</v>
      </c>
      <c r="D147" s="21" t="s">
        <v>88</v>
      </c>
      <c r="E147" s="21" t="s">
        <v>104</v>
      </c>
      <c r="F147" s="22" t="n">
        <v>2294079</v>
      </c>
      <c r="G147" s="22" t="n">
        <v>1437681</v>
      </c>
      <c r="H147" s="22" t="n">
        <v>819806</v>
      </c>
      <c r="I147" s="22" t="n">
        <v>517444</v>
      </c>
      <c r="J147" s="22" t="n">
        <v>378202</v>
      </c>
      <c r="K147" s="22" t="n">
        <v>1333914</v>
      </c>
      <c r="L147" s="22" t="n">
        <v>711881</v>
      </c>
      <c r="M147" s="22" t="n">
        <v>624143</v>
      </c>
      <c r="N147" s="22" t="n">
        <v>633276</v>
      </c>
      <c r="O147" s="22" t="n">
        <v>54573</v>
      </c>
      <c r="P147" s="23" t="n">
        <v>1</v>
      </c>
      <c r="Q147" s="23" t="n">
        <v>0</v>
      </c>
      <c r="R147" s="24" t="n">
        <f aca="false">K147/(K147+L147)</f>
        <v>0.652027207027097</v>
      </c>
      <c r="S147" s="24" t="n">
        <f aca="false">M147/(M147+N147)</f>
        <v>0.496368354542122</v>
      </c>
      <c r="T147" s="24" t="n">
        <f aca="false">J147/G147</f>
        <v>0.263063920299427</v>
      </c>
      <c r="U147" s="21" t="n">
        <f aca="false">IF(AND(A147&gt;=Seasonality!$C$4,A147&lt;=Seasonality!$C$5),1,0)</f>
        <v>1</v>
      </c>
    </row>
    <row r="148" customFormat="false" ht="15" hidden="false" customHeight="false" outlineLevel="0" collapsed="false">
      <c r="A148" s="20" t="n">
        <v>44927</v>
      </c>
      <c r="B148" s="21" t="s">
        <v>251</v>
      </c>
      <c r="C148" s="21" t="s">
        <v>50</v>
      </c>
      <c r="D148" s="21" t="s">
        <v>77</v>
      </c>
      <c r="E148" s="21" t="s">
        <v>104</v>
      </c>
      <c r="F148" s="22" t="n">
        <v>1968338</v>
      </c>
      <c r="G148" s="22" t="n">
        <v>1243898</v>
      </c>
      <c r="H148" s="22" t="n">
        <v>682364</v>
      </c>
      <c r="I148" s="22" t="n">
        <v>508779</v>
      </c>
      <c r="J148" s="22" t="n">
        <v>364353</v>
      </c>
      <c r="K148" s="22" t="n">
        <v>1274038</v>
      </c>
      <c r="L148" s="22" t="n">
        <v>483045</v>
      </c>
      <c r="M148" s="22" t="n">
        <v>632299</v>
      </c>
      <c r="N148" s="22" t="n">
        <v>457163</v>
      </c>
      <c r="O148" s="22" t="n">
        <v>42767</v>
      </c>
      <c r="P148" s="23" t="n">
        <v>1</v>
      </c>
      <c r="Q148" s="23" t="n">
        <v>0</v>
      </c>
      <c r="R148" s="24" t="n">
        <f aca="false">K148/(K148+L148)</f>
        <v>0.725086976540095</v>
      </c>
      <c r="S148" s="24" t="n">
        <f aca="false">M148/(M148+N148)</f>
        <v>0.580377287138055</v>
      </c>
      <c r="T148" s="24" t="n">
        <f aca="false">J148/G148</f>
        <v>0.292912280588923</v>
      </c>
      <c r="U148" s="21" t="n">
        <f aca="false">IF(AND(A148&gt;=Seasonality!$C$4,A148&lt;=Seasonality!$C$5),1,0)</f>
        <v>1</v>
      </c>
    </row>
    <row r="149" customFormat="false" ht="15" hidden="false" customHeight="false" outlineLevel="0" collapsed="false">
      <c r="A149" s="20" t="n">
        <v>44958</v>
      </c>
      <c r="B149" s="21" t="s">
        <v>252</v>
      </c>
      <c r="C149" s="21" t="s">
        <v>50</v>
      </c>
      <c r="D149" s="21" t="s">
        <v>78</v>
      </c>
      <c r="E149" s="21" t="s">
        <v>104</v>
      </c>
      <c r="F149" s="22" t="n">
        <v>1914279</v>
      </c>
      <c r="G149" s="22" t="n">
        <v>1206386</v>
      </c>
      <c r="H149" s="22" t="n">
        <v>666176</v>
      </c>
      <c r="I149" s="22" t="n">
        <v>472856</v>
      </c>
      <c r="J149" s="22" t="n">
        <v>339726</v>
      </c>
      <c r="K149" s="22" t="n">
        <v>1220370</v>
      </c>
      <c r="L149" s="22" t="n">
        <v>486292</v>
      </c>
      <c r="M149" s="22" t="n">
        <v>598368</v>
      </c>
      <c r="N149" s="22" t="n">
        <v>455902</v>
      </c>
      <c r="O149" s="22" t="n">
        <v>34975</v>
      </c>
      <c r="P149" s="23" t="n">
        <v>1</v>
      </c>
      <c r="Q149" s="23" t="n">
        <v>0</v>
      </c>
      <c r="R149" s="24" t="n">
        <f aca="false">K149/(K149+L149)</f>
        <v>0.715062502124029</v>
      </c>
      <c r="S149" s="24" t="n">
        <f aca="false">M149/(M149+N149)</f>
        <v>0.567566183235793</v>
      </c>
      <c r="T149" s="24" t="n">
        <f aca="false">J149/G149</f>
        <v>0.281606384689478</v>
      </c>
      <c r="U149" s="21" t="n">
        <f aca="false">IF(AND(A149&gt;=Seasonality!$C$4,A149&lt;=Seasonality!$C$5),1,0)</f>
        <v>1</v>
      </c>
    </row>
    <row r="150" customFormat="false" ht="15" hidden="false" customHeight="false" outlineLevel="0" collapsed="false">
      <c r="A150" s="20" t="n">
        <v>44986</v>
      </c>
      <c r="B150" s="21" t="s">
        <v>253</v>
      </c>
      <c r="C150" s="21" t="s">
        <v>50</v>
      </c>
      <c r="D150" s="21" t="s">
        <v>79</v>
      </c>
      <c r="E150" s="21" t="s">
        <v>108</v>
      </c>
      <c r="F150" s="22" t="n">
        <v>2165951</v>
      </c>
      <c r="G150" s="22" t="n">
        <v>1372403</v>
      </c>
      <c r="H150" s="22" t="n">
        <v>746745</v>
      </c>
      <c r="I150" s="22" t="n">
        <v>532091</v>
      </c>
      <c r="J150" s="22" t="n">
        <v>381708</v>
      </c>
      <c r="K150" s="22" t="n">
        <v>1383326</v>
      </c>
      <c r="L150" s="22" t="n">
        <v>550538</v>
      </c>
      <c r="M150" s="22" t="n">
        <v>681584</v>
      </c>
      <c r="N150" s="22" t="n">
        <v>517815</v>
      </c>
      <c r="O150" s="22" t="n">
        <v>39687</v>
      </c>
      <c r="P150" s="23" t="n">
        <v>1</v>
      </c>
      <c r="Q150" s="23" t="n">
        <v>0</v>
      </c>
      <c r="R150" s="24" t="n">
        <f aca="false">K150/(K150+L150)</f>
        <v>0.715317106063301</v>
      </c>
      <c r="S150" s="24" t="n">
        <f aca="false">M150/(M150+N150)</f>
        <v>0.568271275863995</v>
      </c>
      <c r="T150" s="24" t="n">
        <f aca="false">J150/G150</f>
        <v>0.27813113203629</v>
      </c>
      <c r="U150" s="21" t="n">
        <f aca="false">IF(AND(A150&gt;=Seasonality!$C$4,A150&lt;=Seasonality!$C$5),1,0)</f>
        <v>1</v>
      </c>
    </row>
    <row r="151" customFormat="false" ht="15" hidden="false" customHeight="false" outlineLevel="0" collapsed="false">
      <c r="A151" s="20" t="n">
        <v>45017</v>
      </c>
      <c r="B151" s="21" t="s">
        <v>254</v>
      </c>
      <c r="C151" s="21" t="s">
        <v>51</v>
      </c>
      <c r="D151" s="21" t="s">
        <v>80</v>
      </c>
      <c r="E151" s="21" t="s">
        <v>108</v>
      </c>
      <c r="F151" s="22" t="n">
        <v>2034040</v>
      </c>
      <c r="G151" s="22" t="n">
        <v>1271145</v>
      </c>
      <c r="H151" s="22" t="n">
        <v>720263</v>
      </c>
      <c r="I151" s="22" t="n">
        <v>490473</v>
      </c>
      <c r="J151" s="22" t="n">
        <v>363625</v>
      </c>
      <c r="K151" s="22" t="n">
        <v>1353879</v>
      </c>
      <c r="L151" s="22" t="n">
        <v>460788</v>
      </c>
      <c r="M151" s="22" t="n">
        <v>677126</v>
      </c>
      <c r="N151" s="22" t="n">
        <v>434469</v>
      </c>
      <c r="O151" s="22" t="n">
        <v>26492</v>
      </c>
      <c r="P151" s="23" t="n">
        <v>1</v>
      </c>
      <c r="Q151" s="23" t="n">
        <v>0</v>
      </c>
      <c r="R151" s="24" t="n">
        <f aca="false">K151/(K151+L151)</f>
        <v>0.746075726290278</v>
      </c>
      <c r="S151" s="24" t="n">
        <f aca="false">M151/(M151+N151)</f>
        <v>0.609148115995484</v>
      </c>
      <c r="T151" s="24" t="n">
        <f aca="false">J151/G151</f>
        <v>0.286060992255014</v>
      </c>
      <c r="U151" s="21" t="n">
        <f aca="false">IF(AND(A151&gt;=Seasonality!$C$4,A151&lt;=Seasonality!$C$5),1,0)</f>
        <v>1</v>
      </c>
    </row>
    <row r="152" customFormat="false" ht="15" hidden="false" customHeight="false" outlineLevel="0" collapsed="false">
      <c r="A152" s="20" t="n">
        <v>45047</v>
      </c>
      <c r="B152" s="21" t="s">
        <v>255</v>
      </c>
      <c r="C152" s="21" t="s">
        <v>51</v>
      </c>
      <c r="D152" s="21" t="s">
        <v>81</v>
      </c>
      <c r="E152" s="21" t="s">
        <v>108</v>
      </c>
      <c r="F152" s="22" t="n">
        <v>2245919</v>
      </c>
      <c r="G152" s="22" t="n">
        <v>1400815</v>
      </c>
      <c r="H152" s="22" t="n">
        <v>799278</v>
      </c>
      <c r="I152" s="22" t="n">
        <v>528935</v>
      </c>
      <c r="J152" s="22" t="n">
        <v>388202</v>
      </c>
      <c r="K152" s="22" t="n">
        <v>1481444</v>
      </c>
      <c r="L152" s="22" t="n">
        <v>520293</v>
      </c>
      <c r="M152" s="22" t="n">
        <v>740295</v>
      </c>
      <c r="N152" s="22" t="n">
        <v>485602</v>
      </c>
      <c r="O152" s="22" t="n">
        <v>31498</v>
      </c>
      <c r="P152" s="23" t="n">
        <v>1</v>
      </c>
      <c r="Q152" s="23" t="n">
        <v>0</v>
      </c>
      <c r="R152" s="24" t="n">
        <f aca="false">K152/(K152+L152)</f>
        <v>0.740079241179036</v>
      </c>
      <c r="S152" s="24" t="n">
        <f aca="false">M152/(M152+N152)</f>
        <v>0.603880260739687</v>
      </c>
      <c r="T152" s="24" t="n">
        <f aca="false">J152/G152</f>
        <v>0.277125816042804</v>
      </c>
      <c r="U152" s="21" t="n">
        <f aca="false">IF(AND(A152&gt;=Seasonality!$C$4,A152&lt;=Seasonality!$C$5),1,0)</f>
        <v>1</v>
      </c>
    </row>
    <row r="153" customFormat="false" ht="15" hidden="false" customHeight="false" outlineLevel="0" collapsed="false">
      <c r="A153" s="20" t="n">
        <v>45078</v>
      </c>
      <c r="B153" s="21" t="s">
        <v>256</v>
      </c>
      <c r="C153" s="21" t="s">
        <v>51</v>
      </c>
      <c r="D153" s="21" t="s">
        <v>82</v>
      </c>
      <c r="E153" s="21" t="s">
        <v>112</v>
      </c>
      <c r="F153" s="22" t="n">
        <v>2225726</v>
      </c>
      <c r="G153" s="22" t="n">
        <v>1389009</v>
      </c>
      <c r="H153" s="22" t="n">
        <v>790521</v>
      </c>
      <c r="I153" s="22" t="n">
        <v>522723</v>
      </c>
      <c r="J153" s="22" t="n">
        <v>381815</v>
      </c>
      <c r="K153" s="22" t="n">
        <v>1633255</v>
      </c>
      <c r="L153" s="22" t="n">
        <v>592471</v>
      </c>
      <c r="M153" s="22" t="n">
        <v>835710</v>
      </c>
      <c r="N153" s="22" t="n">
        <v>553299</v>
      </c>
      <c r="O153" s="22" t="n">
        <v>26488</v>
      </c>
      <c r="P153" s="23" t="n">
        <v>0</v>
      </c>
      <c r="Q153" s="23" t="n">
        <v>0</v>
      </c>
      <c r="R153" s="24" t="n">
        <f aca="false">K153/(K153+L153)</f>
        <v>0.733807755312199</v>
      </c>
      <c r="S153" s="24" t="n">
        <f aca="false">M153/(M153+N153)</f>
        <v>0.601659168515107</v>
      </c>
      <c r="T153" s="24" t="n">
        <f aca="false">J153/G153</f>
        <v>0.274883028115729</v>
      </c>
      <c r="U153" s="21" t="n">
        <f aca="false">IF(AND(A153&gt;=Seasonality!$C$4,A153&lt;=Seasonality!$C$5),1,0)</f>
        <v>1</v>
      </c>
    </row>
    <row r="154" customFormat="false" ht="15" hidden="false" customHeight="false" outlineLevel="0" collapsed="false">
      <c r="A154" s="20" t="n">
        <v>45108</v>
      </c>
      <c r="B154" s="21" t="s">
        <v>257</v>
      </c>
      <c r="C154" s="21" t="s">
        <v>51</v>
      </c>
      <c r="D154" s="21" t="s">
        <v>83</v>
      </c>
      <c r="E154" s="21" t="s">
        <v>112</v>
      </c>
      <c r="F154" s="22" t="n">
        <v>2199787</v>
      </c>
      <c r="G154" s="22" t="n">
        <v>1379854</v>
      </c>
      <c r="H154" s="22" t="n">
        <v>774420</v>
      </c>
      <c r="I154" s="22" t="n">
        <v>534682</v>
      </c>
      <c r="J154" s="22" t="n">
        <v>391312</v>
      </c>
      <c r="K154" s="22" t="n">
        <v>1628514</v>
      </c>
      <c r="L154" s="22" t="n">
        <v>571273</v>
      </c>
      <c r="M154" s="22" t="n">
        <v>840480</v>
      </c>
      <c r="N154" s="22" t="n">
        <v>539374</v>
      </c>
      <c r="O154" s="22" t="n">
        <v>23396</v>
      </c>
      <c r="P154" s="23" t="n">
        <v>0</v>
      </c>
      <c r="Q154" s="23" t="n">
        <v>0</v>
      </c>
      <c r="R154" s="24" t="n">
        <f aca="false">K154/(K154+L154)</f>
        <v>0.740305311377874</v>
      </c>
      <c r="S154" s="24" t="n">
        <f aca="false">M154/(M154+N154)</f>
        <v>0.609107920113287</v>
      </c>
      <c r="T154" s="24" t="n">
        <f aca="false">J154/G154</f>
        <v>0.283589423228834</v>
      </c>
      <c r="U154" s="21" t="n">
        <f aca="false">IF(AND(A154&gt;=Seasonality!$C$4,A154&lt;=Seasonality!$C$5),1,0)</f>
        <v>1</v>
      </c>
    </row>
    <row r="155" customFormat="false" ht="15" hidden="false" customHeight="false" outlineLevel="0" collapsed="false">
      <c r="A155" s="20" t="n">
        <v>45139</v>
      </c>
      <c r="B155" s="21" t="s">
        <v>258</v>
      </c>
      <c r="C155" s="21" t="s">
        <v>51</v>
      </c>
      <c r="D155" s="21" t="s">
        <v>84</v>
      </c>
      <c r="E155" s="21" t="s">
        <v>112</v>
      </c>
      <c r="F155" s="22" t="n">
        <v>2109861</v>
      </c>
      <c r="G155" s="22" t="n">
        <v>1323647</v>
      </c>
      <c r="H155" s="22" t="n">
        <v>742291</v>
      </c>
      <c r="I155" s="22" t="n">
        <v>523881</v>
      </c>
      <c r="J155" s="22" t="n">
        <v>384233</v>
      </c>
      <c r="K155" s="22" t="n">
        <v>1540843</v>
      </c>
      <c r="L155" s="22" t="n">
        <v>569018</v>
      </c>
      <c r="M155" s="22" t="n">
        <v>782195</v>
      </c>
      <c r="N155" s="22" t="n">
        <v>541452</v>
      </c>
      <c r="O155" s="22" t="n">
        <v>27710</v>
      </c>
      <c r="P155" s="23" t="n">
        <v>0</v>
      </c>
      <c r="Q155" s="23" t="n">
        <v>0</v>
      </c>
      <c r="R155" s="24" t="n">
        <f aca="false">K155/(K155+L155)</f>
        <v>0.730305456141424</v>
      </c>
      <c r="S155" s="24" t="n">
        <f aca="false">M155/(M155+N155)</f>
        <v>0.590939276106092</v>
      </c>
      <c r="T155" s="24" t="n">
        <f aca="false">J155/G155</f>
        <v>0.290283587693698</v>
      </c>
      <c r="U155" s="21" t="n">
        <f aca="false">IF(AND(A155&gt;=Seasonality!$C$4,A155&lt;=Seasonality!$C$5),1,0)</f>
        <v>1</v>
      </c>
    </row>
    <row r="156" customFormat="false" ht="15" hidden="false" customHeight="false" outlineLevel="0" collapsed="false">
      <c r="A156" s="20" t="n">
        <v>45170</v>
      </c>
      <c r="B156" s="21" t="s">
        <v>259</v>
      </c>
      <c r="C156" s="21" t="s">
        <v>51</v>
      </c>
      <c r="D156" s="21" t="s">
        <v>85</v>
      </c>
      <c r="E156" s="21" t="s">
        <v>102</v>
      </c>
      <c r="F156" s="22" t="n">
        <v>2170046</v>
      </c>
      <c r="G156" s="22" t="n">
        <v>1369045</v>
      </c>
      <c r="H156" s="22" t="n">
        <v>758370</v>
      </c>
      <c r="I156" s="22" t="n">
        <v>521228</v>
      </c>
      <c r="J156" s="22" t="n">
        <v>383234</v>
      </c>
      <c r="K156" s="22" t="n">
        <v>1555893</v>
      </c>
      <c r="L156" s="22" t="n">
        <v>614153</v>
      </c>
      <c r="M156" s="22" t="n">
        <v>789191</v>
      </c>
      <c r="N156" s="22" t="n">
        <v>579854</v>
      </c>
      <c r="O156" s="22" t="n">
        <v>32228</v>
      </c>
      <c r="P156" s="23" t="n">
        <v>0</v>
      </c>
      <c r="Q156" s="23" t="n">
        <v>0</v>
      </c>
      <c r="R156" s="24" t="n">
        <f aca="false">K156/(K156+L156)</f>
        <v>0.716986183703018</v>
      </c>
      <c r="S156" s="24" t="n">
        <f aca="false">M156/(M156+N156)</f>
        <v>0.576453659302653</v>
      </c>
      <c r="T156" s="24" t="n">
        <f aca="false">J156/G156</f>
        <v>0.279927978992656</v>
      </c>
      <c r="U156" s="21" t="n">
        <f aca="false">IF(AND(A156&gt;=Seasonality!$C$4,A156&lt;=Seasonality!$C$5),1,0)</f>
        <v>1</v>
      </c>
    </row>
    <row r="157" customFormat="false" ht="15" hidden="false" customHeight="false" outlineLevel="0" collapsed="false">
      <c r="A157" s="20" t="n">
        <v>45200</v>
      </c>
      <c r="B157" s="21" t="s">
        <v>260</v>
      </c>
      <c r="C157" s="21" t="s">
        <v>51</v>
      </c>
      <c r="D157" s="21" t="s">
        <v>86</v>
      </c>
      <c r="E157" s="21" t="s">
        <v>102</v>
      </c>
      <c r="F157" s="22" t="n">
        <v>2224320</v>
      </c>
      <c r="G157" s="22" t="n">
        <v>1413597</v>
      </c>
      <c r="H157" s="22" t="n">
        <v>765954</v>
      </c>
      <c r="I157" s="22" t="n">
        <v>546871</v>
      </c>
      <c r="J157" s="22" t="n">
        <v>401524</v>
      </c>
      <c r="K157" s="22" t="n">
        <v>1564021</v>
      </c>
      <c r="L157" s="22" t="n">
        <v>660299</v>
      </c>
      <c r="M157" s="22" t="n">
        <v>789741</v>
      </c>
      <c r="N157" s="22" t="n">
        <v>623856</v>
      </c>
      <c r="O157" s="22" t="n">
        <v>43534</v>
      </c>
      <c r="P157" s="23" t="n">
        <v>0</v>
      </c>
      <c r="Q157" s="23" t="n">
        <v>0</v>
      </c>
      <c r="R157" s="24" t="n">
        <f aca="false">K157/(K157+L157)</f>
        <v>0.703145680477629</v>
      </c>
      <c r="S157" s="24" t="n">
        <f aca="false">M157/(M157+N157)</f>
        <v>0.558674784963466</v>
      </c>
      <c r="T157" s="24" t="n">
        <f aca="false">J157/G157</f>
        <v>0.284044179493873</v>
      </c>
      <c r="U157" s="21" t="n">
        <f aca="false">IF(AND(A157&gt;=Seasonality!$C$4,A157&lt;=Seasonality!$C$5),1,0)</f>
        <v>1</v>
      </c>
    </row>
    <row r="158" customFormat="false" ht="15" hidden="false" customHeight="false" outlineLevel="0" collapsed="false">
      <c r="A158" s="20" t="n">
        <v>45231</v>
      </c>
      <c r="B158" s="21" t="s">
        <v>261</v>
      </c>
      <c r="C158" s="21" t="s">
        <v>51</v>
      </c>
      <c r="D158" s="21" t="s">
        <v>87</v>
      </c>
      <c r="E158" s="21" t="s">
        <v>102</v>
      </c>
      <c r="F158" s="22" t="n">
        <v>2167584</v>
      </c>
      <c r="G158" s="22" t="n">
        <v>1386008</v>
      </c>
      <c r="H158" s="22" t="n">
        <v>739211</v>
      </c>
      <c r="I158" s="22" t="n">
        <v>544643</v>
      </c>
      <c r="J158" s="22" t="n">
        <v>396755</v>
      </c>
      <c r="K158" s="22" t="n">
        <v>1513384</v>
      </c>
      <c r="L158" s="22" t="n">
        <v>654200</v>
      </c>
      <c r="M158" s="22" t="n">
        <v>767456</v>
      </c>
      <c r="N158" s="22" t="n">
        <v>618552</v>
      </c>
      <c r="O158" s="22" t="n">
        <v>42503</v>
      </c>
      <c r="P158" s="23" t="n">
        <v>0</v>
      </c>
      <c r="Q158" s="23" t="n">
        <v>0</v>
      </c>
      <c r="R158" s="24" t="n">
        <f aca="false">K158/(K158+L158)</f>
        <v>0.698189320460015</v>
      </c>
      <c r="S158" s="24" t="n">
        <f aca="false">M158/(M158+N158)</f>
        <v>0.553716861663136</v>
      </c>
      <c r="T158" s="24" t="n">
        <f aca="false">J158/G158</f>
        <v>0.286257366479847</v>
      </c>
      <c r="U158" s="21" t="n">
        <f aca="false">IF(AND(A158&gt;=Seasonality!$C$4,A158&lt;=Seasonality!$C$5),1,0)</f>
        <v>1</v>
      </c>
    </row>
    <row r="159" customFormat="false" ht="15" hidden="false" customHeight="false" outlineLevel="0" collapsed="false">
      <c r="A159" s="20" t="n">
        <v>45261</v>
      </c>
      <c r="B159" s="21" t="s">
        <v>262</v>
      </c>
      <c r="C159" s="21" t="s">
        <v>51</v>
      </c>
      <c r="D159" s="21" t="s">
        <v>88</v>
      </c>
      <c r="E159" s="21" t="s">
        <v>104</v>
      </c>
      <c r="F159" s="22" t="n">
        <v>2184918</v>
      </c>
      <c r="G159" s="22" t="n">
        <v>1384220</v>
      </c>
      <c r="H159" s="22" t="n">
        <v>761416</v>
      </c>
      <c r="I159" s="22" t="n">
        <v>546143</v>
      </c>
      <c r="J159" s="22" t="n">
        <v>406833</v>
      </c>
      <c r="K159" s="22" t="n">
        <v>1518656</v>
      </c>
      <c r="L159" s="22" t="n">
        <v>666262</v>
      </c>
      <c r="M159" s="22" t="n">
        <v>756842</v>
      </c>
      <c r="N159" s="22" t="n">
        <v>627378</v>
      </c>
      <c r="O159" s="22" t="n">
        <v>43858</v>
      </c>
      <c r="P159" s="23" t="n">
        <v>0</v>
      </c>
      <c r="Q159" s="23" t="n">
        <v>0</v>
      </c>
      <c r="R159" s="24" t="n">
        <f aca="false">K159/(K159+L159)</f>
        <v>0.695063155688223</v>
      </c>
      <c r="S159" s="24" t="n">
        <f aca="false">M159/(M159+N159)</f>
        <v>0.546764242678187</v>
      </c>
      <c r="T159" s="24" t="n">
        <f aca="false">J159/G159</f>
        <v>0.293907760327116</v>
      </c>
      <c r="U159" s="21" t="n">
        <f aca="false">IF(AND(A159&gt;=Seasonality!$C$4,A159&lt;=Seasonality!$C$5),1,0)</f>
        <v>1</v>
      </c>
    </row>
    <row r="160" customFormat="false" ht="15" hidden="false" customHeight="false" outlineLevel="0" collapsed="false">
      <c r="A160" s="20" t="n">
        <v>45292</v>
      </c>
      <c r="B160" s="21" t="s">
        <v>263</v>
      </c>
      <c r="C160" s="21" t="s">
        <v>51</v>
      </c>
      <c r="D160" s="21" t="s">
        <v>77</v>
      </c>
      <c r="E160" s="21" t="s">
        <v>104</v>
      </c>
      <c r="F160" s="22" t="n">
        <v>2230825</v>
      </c>
      <c r="G160" s="22" t="n">
        <v>1397975</v>
      </c>
      <c r="H160" s="22" t="n">
        <v>790015</v>
      </c>
      <c r="I160" s="22" t="n">
        <v>556254</v>
      </c>
      <c r="J160" s="22" t="n">
        <v>403208</v>
      </c>
      <c r="K160" s="22" t="n">
        <v>1569718</v>
      </c>
      <c r="L160" s="22" t="n">
        <v>661107</v>
      </c>
      <c r="M160" s="22" t="n">
        <v>774998</v>
      </c>
      <c r="N160" s="22" t="n">
        <v>622977</v>
      </c>
      <c r="O160" s="22" t="n">
        <v>54312</v>
      </c>
      <c r="P160" s="23" t="n">
        <v>0</v>
      </c>
      <c r="Q160" s="23" t="n">
        <v>0</v>
      </c>
      <c r="R160" s="24" t="n">
        <f aca="false">K160/(K160+L160)</f>
        <v>0.703649098427712</v>
      </c>
      <c r="S160" s="24" t="n">
        <f aca="false">M160/(M160+N160)</f>
        <v>0.554371859296482</v>
      </c>
      <c r="T160" s="24" t="n">
        <f aca="false">J160/G160</f>
        <v>0.288422897405175</v>
      </c>
      <c r="U160" s="21" t="n">
        <f aca="false">IF(AND(A160&gt;=Seasonality!$C$4,A160&lt;=Seasonality!$C$5),1,0)</f>
        <v>1</v>
      </c>
    </row>
    <row r="161" customFormat="false" ht="15" hidden="false" customHeight="false" outlineLevel="0" collapsed="false">
      <c r="A161" s="20" t="n">
        <v>45323</v>
      </c>
      <c r="B161" s="21" t="s">
        <v>264</v>
      </c>
      <c r="C161" s="21" t="s">
        <v>51</v>
      </c>
      <c r="D161" s="21" t="s">
        <v>78</v>
      </c>
      <c r="E161" s="21" t="s">
        <v>104</v>
      </c>
      <c r="F161" s="22" t="n">
        <v>2157822</v>
      </c>
      <c r="G161" s="22" t="n">
        <v>1347642</v>
      </c>
      <c r="H161" s="22" t="n">
        <v>766312</v>
      </c>
      <c r="I161" s="22" t="n">
        <v>527343</v>
      </c>
      <c r="J161" s="22" t="n">
        <v>382132</v>
      </c>
      <c r="K161" s="22" t="n">
        <v>1531890</v>
      </c>
      <c r="L161" s="22" t="n">
        <v>625932</v>
      </c>
      <c r="M161" s="22" t="n">
        <v>760821</v>
      </c>
      <c r="N161" s="22" t="n">
        <v>586821</v>
      </c>
      <c r="O161" s="22" t="n">
        <v>44420</v>
      </c>
      <c r="P161" s="23" t="n">
        <v>0</v>
      </c>
      <c r="Q161" s="23" t="n">
        <v>0</v>
      </c>
      <c r="R161" s="24" t="n">
        <f aca="false">K161/(K161+L161)</f>
        <v>0.709924173541655</v>
      </c>
      <c r="S161" s="24" t="n">
        <f aca="false">M161/(M161+N161)</f>
        <v>0.564557204361396</v>
      </c>
      <c r="T161" s="24" t="n">
        <f aca="false">J161/G161</f>
        <v>0.283556018586539</v>
      </c>
      <c r="U161" s="21" t="n">
        <f aca="false">IF(AND(A161&gt;=Seasonality!$C$4,A161&lt;=Seasonality!$C$5),1,0)</f>
        <v>1</v>
      </c>
    </row>
    <row r="162" customFormat="false" ht="15" hidden="false" customHeight="false" outlineLevel="0" collapsed="false">
      <c r="A162" s="20" t="n">
        <v>45352</v>
      </c>
      <c r="B162" s="21" t="s">
        <v>265</v>
      </c>
      <c r="C162" s="21" t="s">
        <v>51</v>
      </c>
      <c r="D162" s="21" t="s">
        <v>79</v>
      </c>
      <c r="E162" s="21" t="s">
        <v>108</v>
      </c>
      <c r="F162" s="22" t="n">
        <v>2370221</v>
      </c>
      <c r="G162" s="22" t="n">
        <v>1462878</v>
      </c>
      <c r="H162" s="22" t="n">
        <v>858421</v>
      </c>
      <c r="I162" s="22" t="n">
        <v>567456</v>
      </c>
      <c r="J162" s="22" t="n">
        <v>420025</v>
      </c>
      <c r="K162" s="22" t="n">
        <v>1762147</v>
      </c>
      <c r="L162" s="22" t="n">
        <v>608074</v>
      </c>
      <c r="M162" s="22" t="n">
        <v>890891</v>
      </c>
      <c r="N162" s="22" t="n">
        <v>571987</v>
      </c>
      <c r="O162" s="22" t="n">
        <v>42972</v>
      </c>
      <c r="P162" s="23" t="n">
        <v>0</v>
      </c>
      <c r="Q162" s="23" t="n">
        <v>0</v>
      </c>
      <c r="R162" s="24" t="n">
        <f aca="false">K162/(K162+L162)</f>
        <v>0.743452614756177</v>
      </c>
      <c r="S162" s="24" t="n">
        <f aca="false">M162/(M162+N162)</f>
        <v>0.608998836540026</v>
      </c>
      <c r="T162" s="24" t="n">
        <f aca="false">J162/G162</f>
        <v>0.287122371106818</v>
      </c>
      <c r="U162" s="21" t="n">
        <f aca="false">IF(AND(A162&gt;=Seasonality!$C$4,A162&lt;=Seasonality!$C$5),1,0)</f>
        <v>1</v>
      </c>
    </row>
    <row r="163" customFormat="false" ht="15" hidden="false" customHeight="false" outlineLevel="0" collapsed="false">
      <c r="A163" s="20" t="n">
        <v>45383</v>
      </c>
      <c r="B163" s="21" t="s">
        <v>266</v>
      </c>
      <c r="C163" s="21" t="s">
        <v>52</v>
      </c>
      <c r="D163" s="21" t="s">
        <v>80</v>
      </c>
      <c r="E163" s="21" t="s">
        <v>108</v>
      </c>
      <c r="F163" s="22" t="n">
        <v>2240668</v>
      </c>
      <c r="G163" s="22" t="n">
        <v>1372028</v>
      </c>
      <c r="H163" s="22" t="n">
        <v>817145</v>
      </c>
      <c r="I163" s="22" t="n">
        <v>544113</v>
      </c>
      <c r="J163" s="22" t="n">
        <v>398116</v>
      </c>
      <c r="K163" s="22" t="n">
        <v>1668983</v>
      </c>
      <c r="L163" s="22" t="n">
        <v>571685</v>
      </c>
      <c r="M163" s="22" t="n">
        <v>829073</v>
      </c>
      <c r="N163" s="22" t="n">
        <v>542955</v>
      </c>
      <c r="O163" s="22" t="n">
        <v>42078</v>
      </c>
      <c r="P163" s="23" t="n">
        <v>0</v>
      </c>
      <c r="Q163" s="23" t="n">
        <v>0</v>
      </c>
      <c r="R163" s="24" t="n">
        <f aca="false">K163/(K163+L163)</f>
        <v>0.744859568664345</v>
      </c>
      <c r="S163" s="24" t="n">
        <f aca="false">M163/(M163+N163)</f>
        <v>0.604268280239179</v>
      </c>
      <c r="T163" s="24" t="n">
        <f aca="false">J163/G163</f>
        <v>0.290166089904871</v>
      </c>
      <c r="U163" s="21" t="n">
        <f aca="false">IF(AND(A163&gt;=Seasonality!$C$4,A163&lt;=Seasonality!$C$5),1,0)</f>
        <v>1</v>
      </c>
    </row>
    <row r="164" customFormat="false" ht="15" hidden="false" customHeight="false" outlineLevel="0" collapsed="false">
      <c r="A164" s="20" t="n">
        <v>45413</v>
      </c>
      <c r="B164" s="21" t="s">
        <v>267</v>
      </c>
      <c r="C164" s="21" t="s">
        <v>52</v>
      </c>
      <c r="D164" s="21" t="s">
        <v>81</v>
      </c>
      <c r="E164" s="21" t="s">
        <v>108</v>
      </c>
      <c r="F164" s="22" t="n">
        <v>2416292</v>
      </c>
      <c r="G164" s="22" t="n">
        <v>1472721</v>
      </c>
      <c r="H164" s="22" t="n">
        <v>892325</v>
      </c>
      <c r="I164" s="22" t="n">
        <v>564693</v>
      </c>
      <c r="J164" s="22" t="n">
        <v>414156</v>
      </c>
      <c r="K164" s="22" t="n">
        <v>1787107</v>
      </c>
      <c r="L164" s="22" t="n">
        <v>629185</v>
      </c>
      <c r="M164" s="22" t="n">
        <v>878926</v>
      </c>
      <c r="N164" s="22" t="n">
        <v>593795</v>
      </c>
      <c r="O164" s="22" t="n">
        <v>42555</v>
      </c>
      <c r="P164" s="23" t="n">
        <v>0</v>
      </c>
      <c r="Q164" s="23" t="n">
        <v>0</v>
      </c>
      <c r="R164" s="24" t="n">
        <f aca="false">K164/(K164+L164)</f>
        <v>0.739607216346369</v>
      </c>
      <c r="S164" s="24" t="n">
        <f aca="false">M164/(M164+N164)</f>
        <v>0.59680414688186</v>
      </c>
      <c r="T164" s="24" t="n">
        <f aca="false">J164/G164</f>
        <v>0.281218234818408</v>
      </c>
      <c r="U164" s="21" t="n">
        <f aca="false">IF(AND(A164&gt;=Seasonality!$C$4,A164&lt;=Seasonality!$C$5),1,0)</f>
        <v>1</v>
      </c>
    </row>
    <row r="165" customFormat="false" ht="15" hidden="false" customHeight="false" outlineLevel="0" collapsed="false">
      <c r="A165" s="20" t="n">
        <v>45444</v>
      </c>
      <c r="B165" s="21" t="s">
        <v>268</v>
      </c>
      <c r="C165" s="21" t="s">
        <v>52</v>
      </c>
      <c r="D165" s="21" t="s">
        <v>82</v>
      </c>
      <c r="E165" s="21" t="s">
        <v>112</v>
      </c>
      <c r="F165" s="22" t="n">
        <v>2294065</v>
      </c>
      <c r="G165" s="22" t="n">
        <v>1405658</v>
      </c>
      <c r="H165" s="22" t="n">
        <v>839025</v>
      </c>
      <c r="I165" s="22" t="n">
        <v>536884</v>
      </c>
      <c r="J165" s="22" t="n">
        <v>396204</v>
      </c>
      <c r="K165" s="22" t="n">
        <v>1711109</v>
      </c>
      <c r="L165" s="22" t="n">
        <v>582956</v>
      </c>
      <c r="M165" s="22" t="n">
        <v>850605</v>
      </c>
      <c r="N165" s="22" t="n">
        <v>555053</v>
      </c>
      <c r="O165" s="22" t="n">
        <v>38106</v>
      </c>
      <c r="P165" s="23" t="n">
        <v>0</v>
      </c>
      <c r="Q165" s="23" t="n">
        <v>0</v>
      </c>
      <c r="R165" s="24" t="n">
        <f aca="false">K165/(K165+L165)</f>
        <v>0.745885142748789</v>
      </c>
      <c r="S165" s="24" t="n">
        <f aca="false">M165/(M165+N165)</f>
        <v>0.605129412702094</v>
      </c>
      <c r="T165" s="24" t="n">
        <f aca="false">J165/G165</f>
        <v>0.281863725031267</v>
      </c>
      <c r="U165" s="21" t="n">
        <f aca="false">IF(AND(A165&gt;=Seasonality!$C$4,A165&lt;=Seasonality!$C$5),1,0)</f>
        <v>1</v>
      </c>
    </row>
    <row r="166" customFormat="false" ht="15" hidden="false" customHeight="false" outlineLevel="0" collapsed="false">
      <c r="A166" s="20" t="n">
        <v>45474</v>
      </c>
      <c r="B166" s="21" t="s">
        <v>269</v>
      </c>
      <c r="C166" s="21" t="s">
        <v>52</v>
      </c>
      <c r="D166" s="21" t="s">
        <v>83</v>
      </c>
      <c r="E166" s="21" t="s">
        <v>112</v>
      </c>
      <c r="F166" s="22" t="n">
        <v>2324832</v>
      </c>
      <c r="G166" s="22" t="n">
        <v>1425569</v>
      </c>
      <c r="H166" s="22" t="n">
        <v>847764</v>
      </c>
      <c r="I166" s="22" t="n">
        <v>552468</v>
      </c>
      <c r="J166" s="22" t="n">
        <v>405655</v>
      </c>
      <c r="K166" s="22" t="n">
        <v>1748671</v>
      </c>
      <c r="L166" s="22" t="n">
        <v>576161</v>
      </c>
      <c r="M166" s="22" t="n">
        <v>874669</v>
      </c>
      <c r="N166" s="22" t="n">
        <v>550900</v>
      </c>
      <c r="O166" s="22" t="n">
        <v>36806</v>
      </c>
      <c r="P166" s="23" t="n">
        <v>0</v>
      </c>
      <c r="Q166" s="23" t="n">
        <v>0</v>
      </c>
      <c r="R166" s="24" t="n">
        <f aca="false">K166/(K166+L166)</f>
        <v>0.752170909553895</v>
      </c>
      <c r="S166" s="24" t="n">
        <f aca="false">M166/(M166+N166)</f>
        <v>0.613557814458648</v>
      </c>
      <c r="T166" s="24" t="n">
        <f aca="false">J166/G166</f>
        <v>0.284556552506403</v>
      </c>
      <c r="U166" s="21" t="n">
        <f aca="false">IF(AND(A166&gt;=Seasonality!$C$4,A166&lt;=Seasonality!$C$5),1,0)</f>
        <v>1</v>
      </c>
    </row>
    <row r="167" customFormat="false" ht="15" hidden="false" customHeight="false" outlineLevel="0" collapsed="false">
      <c r="A167" s="20" t="n">
        <v>45505</v>
      </c>
      <c r="B167" s="21" t="s">
        <v>270</v>
      </c>
      <c r="C167" s="21" t="s">
        <v>52</v>
      </c>
      <c r="D167" s="21" t="s">
        <v>84</v>
      </c>
      <c r="E167" s="21" t="s">
        <v>112</v>
      </c>
      <c r="F167" s="22" t="n">
        <v>2160791</v>
      </c>
      <c r="G167" s="22" t="n">
        <v>1320157</v>
      </c>
      <c r="H167" s="22" t="n">
        <v>792247</v>
      </c>
      <c r="I167" s="22" t="n">
        <v>525633</v>
      </c>
      <c r="J167" s="22" t="n">
        <v>390554</v>
      </c>
      <c r="K167" s="22" t="n">
        <v>1649407</v>
      </c>
      <c r="L167" s="22" t="n">
        <v>511384</v>
      </c>
      <c r="M167" s="22" t="n">
        <v>825658</v>
      </c>
      <c r="N167" s="22" t="n">
        <v>494499</v>
      </c>
      <c r="O167" s="22" t="n">
        <v>28494</v>
      </c>
      <c r="P167" s="23" t="n">
        <v>0</v>
      </c>
      <c r="Q167" s="23" t="n">
        <v>0</v>
      </c>
      <c r="R167" s="24" t="n">
        <f aca="false">K167/(K167+L167)</f>
        <v>0.763334815815134</v>
      </c>
      <c r="S167" s="24" t="n">
        <f aca="false">M167/(M167+N167)</f>
        <v>0.625424097285399</v>
      </c>
      <c r="T167" s="24" t="n">
        <f aca="false">J167/G167</f>
        <v>0.295839055506277</v>
      </c>
      <c r="U167" s="21" t="n">
        <f aca="false">IF(AND(A167&gt;=Seasonality!$C$4,A167&lt;=Seasonality!$C$5),1,0)</f>
        <v>1</v>
      </c>
    </row>
    <row r="168" customFormat="false" ht="15" hidden="false" customHeight="false" outlineLevel="0" collapsed="false">
      <c r="A168" s="20" t="n">
        <v>45536</v>
      </c>
      <c r="B168" s="21" t="s">
        <v>271</v>
      </c>
      <c r="C168" s="21" t="s">
        <v>52</v>
      </c>
      <c r="D168" s="21" t="s">
        <v>85</v>
      </c>
      <c r="E168" s="21" t="s">
        <v>102</v>
      </c>
      <c r="F168" s="22" t="n">
        <v>2214217</v>
      </c>
      <c r="G168" s="22" t="n">
        <v>1364482</v>
      </c>
      <c r="H168" s="22" t="n">
        <v>801201</v>
      </c>
      <c r="I168" s="22" t="n">
        <v>530824</v>
      </c>
      <c r="J168" s="22" t="n">
        <v>393406</v>
      </c>
      <c r="K168" s="22" t="n">
        <v>1643329</v>
      </c>
      <c r="L168" s="22" t="n">
        <v>570888</v>
      </c>
      <c r="M168" s="22" t="n">
        <v>815960</v>
      </c>
      <c r="N168" s="22" t="n">
        <v>548522</v>
      </c>
      <c r="O168" s="22" t="n">
        <v>38880</v>
      </c>
      <c r="P168" s="23" t="n">
        <v>0</v>
      </c>
      <c r="Q168" s="23" t="n">
        <v>0</v>
      </c>
      <c r="R168" s="24" t="n">
        <f aca="false">K168/(K168+L168)</f>
        <v>0.74217161190615</v>
      </c>
      <c r="S168" s="24" t="n">
        <f aca="false">M168/(M168+N168)</f>
        <v>0.597999827040591</v>
      </c>
      <c r="T168" s="24" t="n">
        <f aca="false">J168/G168</f>
        <v>0.288318937149776</v>
      </c>
      <c r="U168" s="21" t="n">
        <f aca="false">IF(AND(A168&gt;=Seasonality!$C$4,A168&lt;=Seasonality!$C$5),1,0)</f>
        <v>1</v>
      </c>
    </row>
    <row r="169" customFormat="false" ht="15" hidden="false" customHeight="false" outlineLevel="0" collapsed="false">
      <c r="A169" s="20" t="n">
        <v>45566</v>
      </c>
      <c r="B169" s="21" t="s">
        <v>272</v>
      </c>
      <c r="C169" s="21" t="s">
        <v>52</v>
      </c>
      <c r="D169" s="21" t="s">
        <v>86</v>
      </c>
      <c r="E169" s="21" t="s">
        <v>102</v>
      </c>
      <c r="F169" s="22" t="n">
        <v>2360536</v>
      </c>
      <c r="G169" s="22" t="n">
        <v>1453242</v>
      </c>
      <c r="H169" s="22" t="n">
        <v>857577</v>
      </c>
      <c r="I169" s="22" t="n">
        <v>567448</v>
      </c>
      <c r="J169" s="22" t="n">
        <v>415893</v>
      </c>
      <c r="K169" s="22" t="n">
        <v>1725194</v>
      </c>
      <c r="L169" s="22" t="n">
        <v>635342</v>
      </c>
      <c r="M169" s="22" t="n">
        <v>844129</v>
      </c>
      <c r="N169" s="22" t="n">
        <v>609113</v>
      </c>
      <c r="O169" s="22" t="n">
        <v>49616</v>
      </c>
      <c r="P169" s="23" t="n">
        <v>0</v>
      </c>
      <c r="Q169" s="23" t="n">
        <v>0</v>
      </c>
      <c r="R169" s="24" t="n">
        <f aca="false">K169/(K169+L169)</f>
        <v>0.730848417478064</v>
      </c>
      <c r="S169" s="24" t="n">
        <f aca="false">M169/(M169+N169)</f>
        <v>0.580859209959525</v>
      </c>
      <c r="T169" s="24" t="n">
        <f aca="false">J169/G169</f>
        <v>0.28618289314512</v>
      </c>
      <c r="U169" s="21" t="n">
        <f aca="false">IF(AND(A169&gt;=Seasonality!$C$4,A169&lt;=Seasonality!$C$5),1,0)</f>
        <v>1</v>
      </c>
    </row>
    <row r="170" customFormat="false" ht="15" hidden="false" customHeight="false" outlineLevel="0" collapsed="false">
      <c r="A170" s="20" t="n">
        <v>45597</v>
      </c>
      <c r="B170" s="21" t="s">
        <v>273</v>
      </c>
      <c r="C170" s="21" t="s">
        <v>52</v>
      </c>
      <c r="D170" s="21" t="s">
        <v>87</v>
      </c>
      <c r="E170" s="21" t="s">
        <v>102</v>
      </c>
      <c r="F170" s="22" t="n">
        <v>2314998</v>
      </c>
      <c r="G170" s="22" t="n">
        <v>1428050</v>
      </c>
      <c r="H170" s="22" t="n">
        <v>839685</v>
      </c>
      <c r="I170" s="22" t="n">
        <v>552161</v>
      </c>
      <c r="J170" s="22" t="n">
        <v>407955</v>
      </c>
      <c r="K170" s="22" t="n">
        <v>1671002</v>
      </c>
      <c r="L170" s="22" t="n">
        <v>643996</v>
      </c>
      <c r="M170" s="22" t="n">
        <v>813728</v>
      </c>
      <c r="N170" s="22" t="n">
        <v>614322</v>
      </c>
      <c r="O170" s="22" t="n">
        <v>45791</v>
      </c>
      <c r="P170" s="23" t="n">
        <v>0</v>
      </c>
      <c r="Q170" s="23" t="n">
        <v>0</v>
      </c>
      <c r="R170" s="24" t="n">
        <f aca="false">K170/(K170+L170)</f>
        <v>0.72181574238941</v>
      </c>
      <c r="S170" s="24" t="n">
        <f aca="false">M170/(M170+N170)</f>
        <v>0.569817583417948</v>
      </c>
      <c r="T170" s="24" t="n">
        <f aca="false">J170/G170</f>
        <v>0.285672770561255</v>
      </c>
      <c r="U170" s="21" t="n">
        <f aca="false">IF(AND(A170&gt;=Seasonality!$C$4,A170&lt;=Seasonality!$C$5),1,0)</f>
        <v>1</v>
      </c>
    </row>
    <row r="171" customFormat="false" ht="15" hidden="false" customHeight="false" outlineLevel="0" collapsed="false">
      <c r="A171" s="20" t="n">
        <v>45627</v>
      </c>
      <c r="B171" s="21" t="s">
        <v>274</v>
      </c>
      <c r="C171" s="21" t="s">
        <v>52</v>
      </c>
      <c r="D171" s="21" t="s">
        <v>88</v>
      </c>
      <c r="E171" s="21" t="s">
        <v>104</v>
      </c>
      <c r="F171" s="22" t="n">
        <v>2345934</v>
      </c>
      <c r="G171" s="22" t="n">
        <v>1440311</v>
      </c>
      <c r="H171" s="22" t="n">
        <v>861582</v>
      </c>
      <c r="I171" s="22" t="n">
        <v>552592</v>
      </c>
      <c r="J171" s="22" t="n">
        <v>411161</v>
      </c>
      <c r="K171" s="22" t="n">
        <v>1668461</v>
      </c>
      <c r="L171" s="22" t="n">
        <v>677473</v>
      </c>
      <c r="M171" s="22" t="n">
        <v>796929</v>
      </c>
      <c r="N171" s="22" t="n">
        <v>643382</v>
      </c>
      <c r="O171" s="22" t="n">
        <v>54207</v>
      </c>
      <c r="P171" s="23" t="n">
        <v>0</v>
      </c>
      <c r="Q171" s="23" t="n">
        <v>0</v>
      </c>
      <c r="R171" s="24" t="n">
        <f aca="false">K171/(K171+L171)</f>
        <v>0.711213955720835</v>
      </c>
      <c r="S171" s="24" t="n">
        <f aca="false">M171/(M171+N171)</f>
        <v>0.553303418497811</v>
      </c>
      <c r="T171" s="24" t="n">
        <f aca="false">J171/G171</f>
        <v>0.285466819318883</v>
      </c>
      <c r="U171" s="21" t="n">
        <f aca="false">IF(AND(A171&gt;=Seasonality!$C$4,A171&lt;=Seasonality!$C$5),1,0)</f>
        <v>1</v>
      </c>
    </row>
    <row r="172" customFormat="false" ht="15" hidden="false" customHeight="false" outlineLevel="0" collapsed="false">
      <c r="A172" s="20" t="n">
        <v>45658</v>
      </c>
      <c r="B172" s="21" t="s">
        <v>275</v>
      </c>
      <c r="C172" s="21" t="s">
        <v>52</v>
      </c>
      <c r="D172" s="21" t="s">
        <v>77</v>
      </c>
      <c r="E172" s="21" t="s">
        <v>104</v>
      </c>
      <c r="F172" s="22" t="n">
        <v>2218130</v>
      </c>
      <c r="G172" s="22" t="n">
        <v>1359026</v>
      </c>
      <c r="H172" s="22" t="n">
        <v>809618</v>
      </c>
      <c r="I172" s="22" t="n">
        <v>548775</v>
      </c>
      <c r="J172" s="22" t="n">
        <v>400481</v>
      </c>
      <c r="K172" s="22" t="n">
        <v>1619384</v>
      </c>
      <c r="L172" s="22" t="n">
        <v>598746</v>
      </c>
      <c r="M172" s="22" t="n">
        <v>784388</v>
      </c>
      <c r="N172" s="22" t="n">
        <v>574638</v>
      </c>
      <c r="O172" s="22" t="n">
        <v>61529</v>
      </c>
      <c r="P172" s="23" t="n">
        <v>0</v>
      </c>
      <c r="Q172" s="23" t="n">
        <v>0</v>
      </c>
      <c r="R172" s="24" t="n">
        <f aca="false">K172/(K172+L172)</f>
        <v>0.73006721878339</v>
      </c>
      <c r="S172" s="24" t="n">
        <f aca="false">M172/(M172+N172)</f>
        <v>0.5771692373803</v>
      </c>
      <c r="T172" s="24" t="n">
        <f aca="false">J172/G172</f>
        <v>0.294682368107748</v>
      </c>
      <c r="U172" s="21" t="n">
        <f aca="false">IF(AND(A172&gt;=Seasonality!$C$4,A172&lt;=Seasonality!$C$5),1,0)</f>
        <v>1</v>
      </c>
    </row>
    <row r="173" customFormat="false" ht="15" hidden="false" customHeight="false" outlineLevel="0" collapsed="false">
      <c r="A173" s="20" t="n">
        <v>45689</v>
      </c>
      <c r="B173" s="21" t="s">
        <v>276</v>
      </c>
      <c r="C173" s="21" t="s">
        <v>52</v>
      </c>
      <c r="D173" s="21" t="s">
        <v>78</v>
      </c>
      <c r="E173" s="21" t="s">
        <v>104</v>
      </c>
      <c r="F173" s="22" t="n">
        <v>2088071</v>
      </c>
      <c r="G173" s="22" t="n">
        <v>1271336</v>
      </c>
      <c r="H173" s="22" t="n">
        <v>771053</v>
      </c>
      <c r="I173" s="22" t="n">
        <v>496095</v>
      </c>
      <c r="J173" s="22" t="n">
        <v>362605</v>
      </c>
      <c r="K173" s="22" t="n">
        <v>1533925</v>
      </c>
      <c r="L173" s="22" t="n">
        <v>554146</v>
      </c>
      <c r="M173" s="22" t="n">
        <v>741834</v>
      </c>
      <c r="N173" s="22" t="n">
        <v>529502</v>
      </c>
      <c r="O173" s="22" t="n">
        <v>47623</v>
      </c>
      <c r="P173" s="23" t="n">
        <v>0</v>
      </c>
      <c r="Q173" s="23" t="n">
        <v>0</v>
      </c>
      <c r="R173" s="24" t="n">
        <f aca="false">K173/(K173+L173)</f>
        <v>0.734613430290445</v>
      </c>
      <c r="S173" s="24" t="n">
        <f aca="false">M173/(M173+N173)</f>
        <v>0.583507428406023</v>
      </c>
      <c r="T173" s="24" t="n">
        <f aca="false">J173/G173</f>
        <v>0.285215710087656</v>
      </c>
      <c r="U173" s="21" t="n">
        <f aca="false">IF(AND(A173&gt;=Seasonality!$C$4,A173&lt;=Seasonality!$C$5),1,0)</f>
        <v>1</v>
      </c>
    </row>
    <row r="174" customFormat="false" ht="15" hidden="false" customHeight="false" outlineLevel="0" collapsed="false">
      <c r="A174" s="20" t="n">
        <v>45717</v>
      </c>
      <c r="B174" s="21" t="s">
        <v>277</v>
      </c>
      <c r="C174" s="21" t="s">
        <v>52</v>
      </c>
      <c r="D174" s="21" t="s">
        <v>79</v>
      </c>
      <c r="E174" s="21" t="s">
        <v>108</v>
      </c>
      <c r="F174" s="22" t="n">
        <v>2389064</v>
      </c>
      <c r="G174" s="22" t="n">
        <v>1450686</v>
      </c>
      <c r="H174" s="22" t="n">
        <v>887141</v>
      </c>
      <c r="I174" s="22" t="n">
        <v>551129</v>
      </c>
      <c r="J174" s="22" t="n">
        <v>404354</v>
      </c>
      <c r="K174" s="22" t="n">
        <v>1791316</v>
      </c>
      <c r="L174" s="22" t="n">
        <v>597748</v>
      </c>
      <c r="M174" s="22" t="n">
        <v>883691</v>
      </c>
      <c r="N174" s="22" t="n">
        <v>566995</v>
      </c>
      <c r="O174" s="22" t="n">
        <v>46766</v>
      </c>
      <c r="P174" s="23" t="n">
        <v>0</v>
      </c>
      <c r="Q174" s="23" t="n">
        <v>0</v>
      </c>
      <c r="R174" s="24" t="n">
        <f aca="false">K174/(K174+L174)</f>
        <v>0.749798247347078</v>
      </c>
      <c r="S174" s="24" t="n">
        <f aca="false">M174/(M174+N174)</f>
        <v>0.609153876166172</v>
      </c>
      <c r="T174" s="24" t="n">
        <f aca="false">J174/G174</f>
        <v>0.278732958062599</v>
      </c>
      <c r="U174" s="21" t="n">
        <f aca="false">IF(AND(A174&gt;=Seasonality!$C$4,A174&lt;=Seasonality!$C$5),1,0)</f>
        <v>1</v>
      </c>
    </row>
    <row r="175" customFormat="false" ht="15" hidden="false" customHeight="false" outlineLevel="0" collapsed="false">
      <c r="A175" s="20" t="n">
        <v>45748</v>
      </c>
      <c r="B175" s="21" t="s">
        <v>278</v>
      </c>
      <c r="C175" s="21" t="s">
        <v>53</v>
      </c>
      <c r="D175" s="21" t="s">
        <v>80</v>
      </c>
      <c r="E175" s="21" t="s">
        <v>108</v>
      </c>
      <c r="F175" s="22" t="n">
        <v>2297421</v>
      </c>
      <c r="G175" s="22" t="n">
        <v>1388613</v>
      </c>
      <c r="H175" s="22" t="n">
        <v>859070</v>
      </c>
      <c r="I175" s="22" t="n">
        <v>528230</v>
      </c>
      <c r="J175" s="22" t="n">
        <v>390648</v>
      </c>
      <c r="K175" s="22" t="n">
        <v>1718099</v>
      </c>
      <c r="L175" s="22" t="n">
        <v>579322</v>
      </c>
      <c r="M175" s="22" t="n">
        <v>836155</v>
      </c>
      <c r="N175" s="22" t="n">
        <v>552458</v>
      </c>
      <c r="O175" s="22" t="n">
        <v>44648</v>
      </c>
      <c r="P175" s="23" t="n">
        <v>0</v>
      </c>
      <c r="Q175" s="23" t="n">
        <v>0</v>
      </c>
      <c r="R175" s="24" t="n">
        <f aca="false">K175/(K175+L175)</f>
        <v>0.747838119352091</v>
      </c>
      <c r="S175" s="24" t="n">
        <f aca="false">M175/(M175+N175)</f>
        <v>0.602151211316616</v>
      </c>
      <c r="T175" s="24" t="n">
        <f aca="false">J175/G175</f>
        <v>0.281322441889857</v>
      </c>
      <c r="U175" s="21" t="n">
        <f aca="false">IF(AND(A175&gt;=Seasonality!$C$4,A175&lt;=Seasonality!$C$5),1,0)</f>
        <v>1</v>
      </c>
    </row>
    <row r="176" customFormat="false" ht="15" hidden="false" customHeight="false" outlineLevel="0" collapsed="false">
      <c r="A176" s="20" t="n">
        <v>45778</v>
      </c>
      <c r="B176" s="21" t="s">
        <v>279</v>
      </c>
      <c r="C176" s="21" t="s">
        <v>53</v>
      </c>
      <c r="D176" s="21" t="s">
        <v>81</v>
      </c>
      <c r="E176" s="21" t="s">
        <v>108</v>
      </c>
      <c r="F176" s="22" t="n">
        <v>2397529</v>
      </c>
      <c r="G176" s="22" t="n">
        <v>1453480</v>
      </c>
      <c r="H176" s="22" t="n">
        <v>893130</v>
      </c>
      <c r="I176" s="22" t="n">
        <v>545128</v>
      </c>
      <c r="J176" s="22" t="n">
        <v>403026</v>
      </c>
      <c r="K176" s="22" t="n">
        <v>1807794</v>
      </c>
      <c r="L176" s="22" t="n">
        <v>589735</v>
      </c>
      <c r="M176" s="22" t="n">
        <v>889677</v>
      </c>
      <c r="N176" s="22" t="n">
        <v>563803</v>
      </c>
      <c r="O176" s="22" t="n">
        <v>42891</v>
      </c>
      <c r="P176" s="23" t="n">
        <v>0</v>
      </c>
      <c r="Q176" s="23" t="n">
        <v>0</v>
      </c>
      <c r="R176" s="24" t="n">
        <f aca="false">K176/(K176+L176)</f>
        <v>0.754023830368684</v>
      </c>
      <c r="S176" s="24" t="n">
        <f aca="false">M176/(M176+N176)</f>
        <v>0.612101301703498</v>
      </c>
      <c r="T176" s="24" t="n">
        <f aca="false">J176/G176</f>
        <v>0.277283485152875</v>
      </c>
      <c r="U176" s="21" t="n">
        <f aca="false">IF(AND(A176&gt;=Seasonality!$C$4,A176&lt;=Seasonality!$C$5),1,0)</f>
        <v>1</v>
      </c>
    </row>
    <row r="177" customFormat="false" ht="15" hidden="false" customHeight="false" outlineLevel="0" collapsed="false">
      <c r="A177" s="20" t="n">
        <v>45809</v>
      </c>
      <c r="B177" s="21" t="s">
        <v>280</v>
      </c>
      <c r="C177" s="21" t="s">
        <v>53</v>
      </c>
      <c r="D177" s="21" t="s">
        <v>82</v>
      </c>
      <c r="E177" s="21" t="s">
        <v>112</v>
      </c>
      <c r="F177" s="22" t="n">
        <v>2351581</v>
      </c>
      <c r="G177" s="22" t="n">
        <v>1428563</v>
      </c>
      <c r="H177" s="22" t="n">
        <v>871400</v>
      </c>
      <c r="I177" s="22" t="n">
        <v>535941</v>
      </c>
      <c r="J177" s="22" t="n">
        <v>395628</v>
      </c>
      <c r="K177" s="22" t="n">
        <v>1776772</v>
      </c>
      <c r="L177" s="22" t="n">
        <v>574809</v>
      </c>
      <c r="M177" s="22" t="n">
        <v>881692</v>
      </c>
      <c r="N177" s="22" t="n">
        <v>546871</v>
      </c>
      <c r="O177" s="22" t="n">
        <v>38683</v>
      </c>
      <c r="P177" s="23" t="n">
        <v>0</v>
      </c>
      <c r="Q177" s="23" t="n">
        <v>0</v>
      </c>
      <c r="R177" s="24" t="n">
        <f aca="false">K177/(K177+L177)</f>
        <v>0.755564873164054</v>
      </c>
      <c r="S177" s="24" t="n">
        <f aca="false">M177/(M177+N177)</f>
        <v>0.617188041409444</v>
      </c>
      <c r="T177" s="24" t="n">
        <f aca="false">J177/G177</f>
        <v>0.27694123395328</v>
      </c>
      <c r="U177" s="21" t="n">
        <f aca="false">IF(AND(A177&gt;=Seasonality!$C$4,A177&lt;=Seasonality!$C$5),1,0)</f>
        <v>1</v>
      </c>
    </row>
    <row r="178" customFormat="false" ht="15" hidden="false" customHeight="false" outlineLevel="0" collapsed="false">
      <c r="A178" s="20" t="n">
        <v>45839</v>
      </c>
      <c r="B178" s="21" t="s">
        <v>281</v>
      </c>
      <c r="C178" s="21" t="s">
        <v>53</v>
      </c>
      <c r="D178" s="21" t="s">
        <v>83</v>
      </c>
      <c r="E178" s="21" t="s">
        <v>112</v>
      </c>
      <c r="F178" s="22" t="n">
        <v>2408866</v>
      </c>
      <c r="G178" s="22" t="n">
        <v>1469050</v>
      </c>
      <c r="H178" s="22" t="n">
        <v>886827</v>
      </c>
      <c r="I178" s="22" t="n">
        <v>559392</v>
      </c>
      <c r="J178" s="22" t="n">
        <v>412893</v>
      </c>
      <c r="K178" s="22" t="n">
        <v>1840562</v>
      </c>
      <c r="L178" s="22" t="n">
        <v>568304</v>
      </c>
      <c r="M178" s="22" t="n">
        <v>926890</v>
      </c>
      <c r="N178" s="22" t="n">
        <v>542160</v>
      </c>
      <c r="O178" s="22" t="n">
        <v>35467</v>
      </c>
      <c r="P178" s="23" t="n">
        <v>0</v>
      </c>
      <c r="Q178" s="23" t="n">
        <v>0</v>
      </c>
      <c r="R178" s="24" t="n">
        <f aca="false">K178/(K178+L178)</f>
        <v>0.764078201112059</v>
      </c>
      <c r="S178" s="24" t="n">
        <f aca="false">M178/(M178+N178)</f>
        <v>0.630945168646404</v>
      </c>
      <c r="T178" s="24" t="n">
        <f aca="false">J178/G178</f>
        <v>0.281061230046629</v>
      </c>
      <c r="U178" s="21" t="n">
        <f aca="false">IF(AND(A178&gt;=Seasonality!$C$4,A178&lt;=Seasonality!$C$5),1,0)</f>
        <v>1</v>
      </c>
    </row>
    <row r="179" customFormat="false" ht="15" hidden="false" customHeight="false" outlineLevel="0" collapsed="false">
      <c r="A179" s="20" t="n">
        <v>45870</v>
      </c>
      <c r="B179" s="21" t="s">
        <v>282</v>
      </c>
      <c r="C179" s="21" t="s">
        <v>53</v>
      </c>
      <c r="D179" s="21" t="s">
        <v>84</v>
      </c>
      <c r="E179" s="21" t="s">
        <v>112</v>
      </c>
      <c r="F179" s="22" t="n">
        <v>2266937</v>
      </c>
      <c r="G179" s="22" t="n">
        <v>1383870</v>
      </c>
      <c r="H179" s="22" t="n">
        <v>833983</v>
      </c>
      <c r="I179" s="22" t="n">
        <v>526399</v>
      </c>
      <c r="J179" s="22" t="n">
        <v>394548</v>
      </c>
      <c r="K179" s="22" t="n">
        <v>1720066</v>
      </c>
      <c r="L179" s="22" t="n">
        <v>546871</v>
      </c>
      <c r="M179" s="22" t="n">
        <v>858328</v>
      </c>
      <c r="N179" s="22" t="n">
        <v>525542</v>
      </c>
      <c r="O179" s="22" t="n">
        <v>35909</v>
      </c>
      <c r="P179" s="23" t="n">
        <v>0</v>
      </c>
      <c r="Q179" s="23" t="n">
        <v>0</v>
      </c>
      <c r="R179" s="24" t="n">
        <f aca="false">K179/(K179+L179)</f>
        <v>0.75876215351375</v>
      </c>
      <c r="S179" s="24" t="n">
        <f aca="false">M179/(M179+N179)</f>
        <v>0.620237450049499</v>
      </c>
      <c r="T179" s="24" t="n">
        <f aca="false">J179/G179</f>
        <v>0.285104814758612</v>
      </c>
      <c r="U179" s="21" t="n">
        <f aca="false">IF(AND(A179&gt;=Seasonality!$C$4,A179&lt;=Seasonality!$C$5),1,0)</f>
        <v>1</v>
      </c>
    </row>
    <row r="180" customFormat="false" ht="15" hidden="false" customHeight="false" outlineLevel="0" collapsed="false">
      <c r="A180" s="20" t="n">
        <v>45901</v>
      </c>
      <c r="B180" s="21" t="s">
        <v>283</v>
      </c>
      <c r="C180" s="21" t="s">
        <v>53</v>
      </c>
      <c r="D180" s="21" t="s">
        <v>85</v>
      </c>
      <c r="E180" s="21" t="s">
        <v>102</v>
      </c>
      <c r="F180" s="22" t="n">
        <v>2310222</v>
      </c>
      <c r="G180" s="22" t="n">
        <v>1417440</v>
      </c>
      <c r="H180" s="22" t="n">
        <v>842049</v>
      </c>
      <c r="I180" s="22" t="n">
        <v>535580</v>
      </c>
      <c r="J180" s="22" t="n">
        <v>395054</v>
      </c>
      <c r="K180" s="22" t="n">
        <v>1733831</v>
      </c>
      <c r="L180" s="22" t="n">
        <v>576391</v>
      </c>
      <c r="M180" s="22" t="n">
        <v>865776</v>
      </c>
      <c r="N180" s="22" t="n">
        <v>551664</v>
      </c>
      <c r="O180" s="22" t="n">
        <v>44765</v>
      </c>
      <c r="P180" s="23" t="n">
        <v>0</v>
      </c>
      <c r="Q180" s="23" t="n">
        <v>0</v>
      </c>
      <c r="R180" s="24" t="n">
        <f aca="false">K180/(K180+L180)</f>
        <v>0.750504064111588</v>
      </c>
      <c r="S180" s="24" t="n">
        <f aca="false">M180/(M180+N180)</f>
        <v>0.610802573653911</v>
      </c>
      <c r="T180" s="24" t="n">
        <f aca="false">J180/G180</f>
        <v>0.278709504458743</v>
      </c>
      <c r="U180" s="21" t="n">
        <f aca="false">IF(AND(A180&gt;=Seasonality!$C$4,A180&lt;=Seasonality!$C$5),1,0)</f>
        <v>1</v>
      </c>
    </row>
    <row r="181" customFormat="false" ht="15" hidden="false" customHeight="false" outlineLevel="0" collapsed="false">
      <c r="A181" s="20" t="n">
        <v>45931</v>
      </c>
      <c r="B181" s="21" t="s">
        <v>284</v>
      </c>
      <c r="C181" s="21" t="s">
        <v>53</v>
      </c>
      <c r="D181" s="21" t="s">
        <v>86</v>
      </c>
      <c r="E181" s="21" t="s">
        <v>102</v>
      </c>
      <c r="F181" s="22" t="n">
        <v>2401266</v>
      </c>
      <c r="G181" s="22" t="n">
        <v>1481222</v>
      </c>
      <c r="H181" s="22" t="n">
        <v>865288</v>
      </c>
      <c r="I181" s="22" t="n">
        <v>553499</v>
      </c>
      <c r="J181" s="22" t="n">
        <v>406141</v>
      </c>
      <c r="K181" s="22" t="n">
        <v>1781392</v>
      </c>
      <c r="L181" s="22" t="n">
        <v>619874</v>
      </c>
      <c r="M181" s="22" t="n">
        <v>890610</v>
      </c>
      <c r="N181" s="22" t="n">
        <v>590612</v>
      </c>
      <c r="O181" s="22" t="n">
        <v>54326</v>
      </c>
      <c r="P181" s="23" t="n">
        <v>0</v>
      </c>
      <c r="Q181" s="23" t="n">
        <v>0</v>
      </c>
      <c r="R181" s="24" t="n">
        <f aca="false">K181/(K181+L181)</f>
        <v>0.741855337975884</v>
      </c>
      <c r="S181" s="24" t="n">
        <f aca="false">M181/(M181+N181)</f>
        <v>0.601267061925896</v>
      </c>
      <c r="T181" s="24" t="n">
        <f aca="false">J181/G181</f>
        <v>0.274193199938969</v>
      </c>
      <c r="U181" s="21" t="n">
        <f aca="false">IF(AND(A181&gt;=Seasonality!$C$4,A181&lt;=Seasonality!$C$5),1,0)</f>
        <v>1</v>
      </c>
    </row>
    <row r="182" customFormat="false" ht="15" hidden="false" customHeight="false" outlineLevel="0" collapsed="false">
      <c r="A182" s="20" t="n">
        <v>45962</v>
      </c>
      <c r="B182" s="21" t="s">
        <v>285</v>
      </c>
      <c r="C182" s="21" t="s">
        <v>53</v>
      </c>
      <c r="D182" s="21" t="s">
        <v>87</v>
      </c>
      <c r="E182" s="21" t="s">
        <v>102</v>
      </c>
      <c r="F182" s="22" t="n">
        <v>2347046</v>
      </c>
      <c r="G182" s="22" t="n">
        <v>1450144</v>
      </c>
      <c r="H182" s="22" t="n">
        <v>847177</v>
      </c>
      <c r="I182" s="22" t="n">
        <v>531747</v>
      </c>
      <c r="J182" s="22" t="n">
        <v>390459</v>
      </c>
      <c r="K182" s="22" t="n">
        <v>1741906</v>
      </c>
      <c r="L182" s="22" t="n">
        <v>605140</v>
      </c>
      <c r="M182" s="22" t="n">
        <v>875094</v>
      </c>
      <c r="N182" s="22" t="n">
        <v>575050</v>
      </c>
      <c r="O182" s="22" t="n">
        <v>50648</v>
      </c>
      <c r="P182" s="23" t="n">
        <v>0</v>
      </c>
      <c r="Q182" s="23" t="n">
        <v>0</v>
      </c>
      <c r="R182" s="24" t="n">
        <f aca="false">K182/(K182+L182)</f>
        <v>0.742169518620428</v>
      </c>
      <c r="S182" s="24" t="n">
        <f aca="false">M182/(M182+N182)</f>
        <v>0.603453174305448</v>
      </c>
      <c r="T182" s="24" t="n">
        <f aca="false">J182/G182</f>
        <v>0.269255329125935</v>
      </c>
      <c r="U182" s="21" t="n">
        <f aca="false">IF(AND(A182&gt;=Seasonality!$C$4,A182&lt;=Seasonality!$C$5),1,0)</f>
        <v>1</v>
      </c>
    </row>
    <row r="183" customFormat="false" ht="15" hidden="false" customHeight="false" outlineLevel="0" collapsed="false">
      <c r="A183" s="20" t="n">
        <v>45992</v>
      </c>
      <c r="B183" s="21" t="s">
        <v>286</v>
      </c>
      <c r="C183" s="21" t="s">
        <v>53</v>
      </c>
      <c r="D183" s="21" t="s">
        <v>88</v>
      </c>
      <c r="E183" s="21" t="s">
        <v>104</v>
      </c>
      <c r="F183" s="22" t="n">
        <v>2326139</v>
      </c>
      <c r="G183" s="22" t="n">
        <v>1438207</v>
      </c>
      <c r="H183" s="22" t="n">
        <v>840410</v>
      </c>
      <c r="I183" s="22" t="n">
        <v>542188</v>
      </c>
      <c r="J183" s="22" t="n">
        <v>399039</v>
      </c>
      <c r="K183" s="22" t="n">
        <v>1717664</v>
      </c>
      <c r="L183" s="22" t="n">
        <v>608475</v>
      </c>
      <c r="M183" s="22" t="n">
        <v>857514</v>
      </c>
      <c r="N183" s="22" t="n">
        <v>580693</v>
      </c>
      <c r="O183" s="22" t="n">
        <v>50789</v>
      </c>
      <c r="P183" s="23" t="n">
        <v>0</v>
      </c>
      <c r="Q183" s="23" t="n">
        <v>0</v>
      </c>
      <c r="R183" s="24" t="n">
        <f aca="false">K183/(K183+L183)</f>
        <v>0.738418469403591</v>
      </c>
      <c r="S183" s="24" t="n">
        <f aca="false">M183/(M183+N183)</f>
        <v>0.596238232743965</v>
      </c>
      <c r="T183" s="24" t="n">
        <f aca="false">J183/G183</f>
        <v>0.277455887782496</v>
      </c>
      <c r="U183" s="21" t="n">
        <f aca="false">IF(AND(A183&gt;=Seasonality!$C$4,A183&lt;=Seasonality!$C$5),1,0)</f>
        <v>1</v>
      </c>
    </row>
    <row r="184" customFormat="false" ht="15" hidden="false" customHeight="false" outlineLevel="0" collapsed="false">
      <c r="A184" s="20" t="n">
        <v>46023</v>
      </c>
      <c r="B184" s="21" t="s">
        <v>287</v>
      </c>
      <c r="C184" s="21" t="s">
        <v>53</v>
      </c>
      <c r="D184" s="21" t="s">
        <v>77</v>
      </c>
      <c r="E184" s="21" t="s">
        <v>104</v>
      </c>
      <c r="F184" s="22" t="n">
        <v>2319296</v>
      </c>
      <c r="G184" s="22" t="n">
        <v>1434757</v>
      </c>
      <c r="H184" s="22" t="n">
        <v>833829</v>
      </c>
      <c r="I184" s="22" t="n">
        <v>546136</v>
      </c>
      <c r="J184" s="22" t="n">
        <v>395611</v>
      </c>
      <c r="K184" s="22" t="n">
        <v>1680358</v>
      </c>
      <c r="L184" s="22" t="n">
        <v>638938</v>
      </c>
      <c r="M184" s="22" t="n">
        <v>822382</v>
      </c>
      <c r="N184" s="22" t="n">
        <v>612375</v>
      </c>
      <c r="O184" s="22" t="n">
        <v>71517</v>
      </c>
      <c r="P184" s="23" t="n">
        <v>0</v>
      </c>
      <c r="Q184" s="23" t="n">
        <v>0</v>
      </c>
      <c r="R184" s="24" t="n">
        <f aca="false">K184/(K184+L184)</f>
        <v>0.724512093324871</v>
      </c>
      <c r="S184" s="24" t="n">
        <f aca="false">M184/(M184+N184)</f>
        <v>0.573185563827185</v>
      </c>
      <c r="T184" s="24" t="n">
        <f aca="false">J184/G184</f>
        <v>0.275733800218434</v>
      </c>
      <c r="U184" s="21" t="n">
        <f aca="false">IF(AND(A184&gt;=Seasonality!$C$4,A184&lt;=Seasonality!$C$5),1,0)</f>
        <v>1</v>
      </c>
    </row>
    <row r="185" customFormat="false" ht="15" hidden="false" customHeight="false" outlineLevel="0" collapsed="false">
      <c r="A185" s="20" t="n">
        <v>46054</v>
      </c>
      <c r="B185" s="21" t="s">
        <v>288</v>
      </c>
      <c r="C185" s="21" t="s">
        <v>53</v>
      </c>
      <c r="D185" s="21" t="s">
        <v>78</v>
      </c>
      <c r="E185" s="21" t="s">
        <v>104</v>
      </c>
      <c r="F185" s="22" t="n">
        <v>2117450</v>
      </c>
      <c r="G185" s="22" t="n">
        <v>1298005</v>
      </c>
      <c r="H185" s="22" t="n">
        <v>771212</v>
      </c>
      <c r="I185" s="22" t="n">
        <v>493015</v>
      </c>
      <c r="J185" s="22" t="n">
        <v>355598</v>
      </c>
      <c r="K185" s="22" t="n">
        <v>1568084</v>
      </c>
      <c r="L185" s="22" t="n">
        <v>549366</v>
      </c>
      <c r="M185" s="22" t="n">
        <v>770769</v>
      </c>
      <c r="N185" s="22" t="n">
        <v>527236</v>
      </c>
      <c r="O185" s="22" t="n">
        <v>54649</v>
      </c>
      <c r="P185" s="23" t="n">
        <v>0</v>
      </c>
      <c r="Q185" s="23" t="n">
        <v>0</v>
      </c>
      <c r="R185" s="24" t="n">
        <f aca="false">K185/(K185+L185)</f>
        <v>0.740553023684148</v>
      </c>
      <c r="S185" s="24" t="n">
        <f aca="false">M185/(M185+N185)</f>
        <v>0.593810501500379</v>
      </c>
      <c r="T185" s="24" t="n">
        <f aca="false">J185/G185</f>
        <v>0.273957342229036</v>
      </c>
      <c r="U185" s="21" t="n">
        <f aca="false">IF(AND(A185&gt;=Seasonality!$C$4,A185&lt;=Seasonality!$C$5),1,0)</f>
        <v>1</v>
      </c>
    </row>
    <row r="186" customFormat="false" ht="15" hidden="false" customHeight="false" outlineLevel="0" collapsed="false">
      <c r="A186" s="20" t="n">
        <v>46082</v>
      </c>
      <c r="B186" s="21" t="s">
        <v>289</v>
      </c>
      <c r="C186" s="21" t="s">
        <v>53</v>
      </c>
      <c r="D186" s="21" t="s">
        <v>79</v>
      </c>
      <c r="E186" s="21" t="s">
        <v>108</v>
      </c>
      <c r="F186" s="22" t="n">
        <v>2432272</v>
      </c>
      <c r="G186" s="22" t="n">
        <v>1478144</v>
      </c>
      <c r="H186" s="22" t="n">
        <v>898735</v>
      </c>
      <c r="I186" s="22" t="n">
        <v>553892</v>
      </c>
      <c r="J186" s="22" t="n">
        <v>402356</v>
      </c>
      <c r="K186" s="22" t="n">
        <v>1875561</v>
      </c>
      <c r="L186" s="22" t="n">
        <v>556711</v>
      </c>
      <c r="M186" s="22" t="n">
        <v>947365</v>
      </c>
      <c r="N186" s="22" t="n">
        <v>530779</v>
      </c>
      <c r="O186" s="22" t="n">
        <v>46665</v>
      </c>
      <c r="P186" s="23" t="n">
        <v>0</v>
      </c>
      <c r="Q186" s="23" t="n">
        <v>0</v>
      </c>
      <c r="R186" s="24" t="n">
        <f aca="false">K186/(K186+L186)</f>
        <v>0.771114825973411</v>
      </c>
      <c r="S186" s="24" t="n">
        <f aca="false">M186/(M186+N186)</f>
        <v>0.640915228827503</v>
      </c>
      <c r="T186" s="24" t="n">
        <f aca="false">J186/G186</f>
        <v>0.272203520090059</v>
      </c>
      <c r="U186" s="21" t="n">
        <f aca="false">IF(AND(A186&gt;=Seasonality!$C$4,A186&lt;=Seasonality!$C$5),1,0)</f>
        <v>1</v>
      </c>
    </row>
    <row r="187" customFormat="false" ht="15" hidden="false" customHeight="false" outlineLevel="0" collapsed="false">
      <c r="A187" s="20" t="n">
        <v>46113</v>
      </c>
      <c r="B187" s="21" t="s">
        <v>290</v>
      </c>
      <c r="C187" s="21" t="s">
        <v>54</v>
      </c>
      <c r="D187" s="21" t="s">
        <v>80</v>
      </c>
      <c r="E187" s="21" t="s">
        <v>108</v>
      </c>
      <c r="F187" s="22" t="n">
        <v>2345329</v>
      </c>
      <c r="G187" s="22" t="n">
        <v>1430825</v>
      </c>
      <c r="H187" s="22" t="n">
        <v>861790</v>
      </c>
      <c r="I187" s="22" t="n">
        <v>525660</v>
      </c>
      <c r="J187" s="22" t="n">
        <v>386257</v>
      </c>
      <c r="K187" s="22" t="n">
        <v>1803787</v>
      </c>
      <c r="L187" s="22" t="n">
        <v>541542</v>
      </c>
      <c r="M187" s="22" t="n">
        <v>913227</v>
      </c>
      <c r="N187" s="22" t="n">
        <v>517598</v>
      </c>
      <c r="O187" s="22" t="n">
        <v>47750</v>
      </c>
      <c r="P187" s="23" t="n">
        <v>0</v>
      </c>
      <c r="Q187" s="23" t="n">
        <v>0</v>
      </c>
      <c r="R187" s="24" t="n">
        <f aca="false">K187/(K187+L187)</f>
        <v>0.769097640458972</v>
      </c>
      <c r="S187" s="24" t="n">
        <f aca="false">M187/(M187+N187)</f>
        <v>0.638252057379484</v>
      </c>
      <c r="T187" s="24" t="n">
        <f aca="false">J187/G187</f>
        <v>0.269954047490084</v>
      </c>
      <c r="U187" s="21" t="n">
        <f aca="false">IF(AND(A187&gt;=Seasonality!$C$4,A187&lt;=Seasonality!$C$5),1,0)</f>
        <v>0</v>
      </c>
    </row>
    <row r="188" customFormat="false" ht="15" hidden="false" customHeight="false" outlineLevel="0" collapsed="false">
      <c r="A188" s="20" t="n">
        <v>46143</v>
      </c>
      <c r="B188" s="21" t="s">
        <v>291</v>
      </c>
      <c r="C188" s="21" t="s">
        <v>54</v>
      </c>
      <c r="D188" s="21" t="s">
        <v>81</v>
      </c>
      <c r="E188" s="21" t="s">
        <v>108</v>
      </c>
      <c r="F188" s="22" t="n">
        <v>2457398</v>
      </c>
      <c r="G188" s="22" t="n">
        <v>1493345</v>
      </c>
      <c r="H188" s="22" t="n">
        <v>911233</v>
      </c>
      <c r="I188" s="22" t="n">
        <v>533280</v>
      </c>
      <c r="J188" s="22" t="n">
        <v>395328</v>
      </c>
      <c r="K188" s="22" t="n">
        <v>1860075</v>
      </c>
      <c r="L188" s="22" t="n">
        <v>597323</v>
      </c>
      <c r="M188" s="22" t="n">
        <v>923959</v>
      </c>
      <c r="N188" s="22" t="n">
        <v>569386</v>
      </c>
      <c r="O188" s="22" t="n">
        <v>50212</v>
      </c>
      <c r="P188" s="23" t="n">
        <v>0</v>
      </c>
      <c r="Q188" s="23" t="n">
        <v>0</v>
      </c>
      <c r="R188" s="24" t="n">
        <f aca="false">K188/(K188+L188)</f>
        <v>0.756928670081118</v>
      </c>
      <c r="S188" s="24" t="n">
        <f aca="false">M188/(M188+N188)</f>
        <v>0.618717710910741</v>
      </c>
      <c r="T188" s="24" t="n">
        <f aca="false">J188/G188</f>
        <v>0.264726503252765</v>
      </c>
      <c r="U188" s="21" t="n">
        <f aca="false">IF(AND(A188&gt;=Seasonality!$C$4,A188&lt;=Seasonality!$C$5),1,0)</f>
        <v>0</v>
      </c>
    </row>
    <row r="189" customFormat="false" ht="15" hidden="false" customHeight="false" outlineLevel="0" collapsed="false">
      <c r="A189" s="20" t="n">
        <v>46174</v>
      </c>
      <c r="B189" s="21" t="s">
        <v>292</v>
      </c>
      <c r="C189" s="21" t="s">
        <v>54</v>
      </c>
      <c r="D189" s="21" t="s">
        <v>82</v>
      </c>
      <c r="E189" s="21" t="s">
        <v>112</v>
      </c>
      <c r="F189" s="22" t="n">
        <v>2437906</v>
      </c>
      <c r="G189" s="22" t="n">
        <v>1488602</v>
      </c>
      <c r="H189" s="22" t="n">
        <v>894414</v>
      </c>
      <c r="I189" s="22" t="n">
        <v>534753</v>
      </c>
      <c r="J189" s="22" t="n">
        <v>390733</v>
      </c>
      <c r="K189" s="22" t="n">
        <v>1828989</v>
      </c>
      <c r="L189" s="22" t="n">
        <v>608917</v>
      </c>
      <c r="M189" s="22" t="n">
        <v>911703</v>
      </c>
      <c r="N189" s="22" t="n">
        <v>576899</v>
      </c>
      <c r="O189" s="22" t="n">
        <v>49466</v>
      </c>
      <c r="P189" s="23" t="n">
        <v>0</v>
      </c>
      <c r="Q189" s="23" t="n">
        <v>0</v>
      </c>
      <c r="R189" s="24" t="n">
        <f aca="false">K189/(K189+L189)</f>
        <v>0.750229500235038</v>
      </c>
      <c r="S189" s="24" t="n">
        <f aca="false">M189/(M189+N189)</f>
        <v>0.612455847835755</v>
      </c>
      <c r="T189" s="24" t="n">
        <f aca="false">J189/G189</f>
        <v>0.262483188924911</v>
      </c>
      <c r="U189" s="21" t="n">
        <f aca="false">IF(AND(A189&gt;=Seasonality!$C$4,A189&lt;=Seasonality!$C$5),1,0)</f>
        <v>0</v>
      </c>
    </row>
    <row r="190" customFormat="false" ht="15" hidden="false" customHeight="false" outlineLevel="0" collapsed="false">
      <c r="A190" s="20" t="n">
        <v>46204</v>
      </c>
      <c r="B190" s="21" t="s">
        <v>293</v>
      </c>
      <c r="C190" s="21" t="s">
        <v>54</v>
      </c>
      <c r="D190" s="21" t="s">
        <v>83</v>
      </c>
      <c r="E190" s="21" t="s">
        <v>112</v>
      </c>
      <c r="F190" s="22" t="n">
        <v>2487580</v>
      </c>
      <c r="G190" s="22" t="n">
        <v>1517141</v>
      </c>
      <c r="H190" s="22" t="n">
        <v>913067</v>
      </c>
      <c r="I190" s="22" t="n">
        <v>547828</v>
      </c>
      <c r="J190" s="22" t="n">
        <v>400260</v>
      </c>
      <c r="K190" s="22" t="n">
        <v>1875001</v>
      </c>
      <c r="L190" s="22" t="n">
        <v>612579</v>
      </c>
      <c r="M190" s="22" t="n">
        <v>936281</v>
      </c>
      <c r="N190" s="22" t="n">
        <v>580860</v>
      </c>
      <c r="O190" s="22" t="n">
        <v>47438</v>
      </c>
      <c r="P190" s="23" t="n">
        <v>0</v>
      </c>
      <c r="Q190" s="23" t="n">
        <v>0</v>
      </c>
      <c r="R190" s="24" t="n">
        <f aca="false">K190/(K190+L190)</f>
        <v>0.753745005185763</v>
      </c>
      <c r="S190" s="24" t="n">
        <f aca="false">M190/(M190+N190)</f>
        <v>0.617135124553354</v>
      </c>
      <c r="T190" s="24" t="n">
        <f aca="false">J190/G190</f>
        <v>0.263825181706908</v>
      </c>
      <c r="U190" s="21" t="n">
        <f aca="false">IF(AND(A190&gt;=Seasonality!$C$4,A190&lt;=Seasonality!$C$5),1,0)</f>
        <v>0</v>
      </c>
    </row>
    <row r="191" customFormat="false" ht="15" hidden="false" customHeight="false" outlineLevel="0" collapsed="false">
      <c r="A191" s="20" t="n">
        <v>46235</v>
      </c>
      <c r="B191" s="21" t="s">
        <v>294</v>
      </c>
      <c r="C191" s="21" t="s">
        <v>54</v>
      </c>
      <c r="D191" s="21" t="s">
        <v>84</v>
      </c>
      <c r="E191" s="21" t="s">
        <v>112</v>
      </c>
      <c r="F191" s="22" t="n">
        <v>2342959</v>
      </c>
      <c r="G191" s="22" t="n">
        <v>1436125</v>
      </c>
      <c r="H191" s="22" t="n">
        <v>853952</v>
      </c>
      <c r="I191" s="22" t="n">
        <v>517868</v>
      </c>
      <c r="J191" s="22" t="n">
        <v>386024</v>
      </c>
      <c r="K191" s="22" t="n">
        <v>1758192</v>
      </c>
      <c r="L191" s="22" t="n">
        <v>584767</v>
      </c>
      <c r="M191" s="22" t="n">
        <v>877448</v>
      </c>
      <c r="N191" s="22" t="n">
        <v>558677</v>
      </c>
      <c r="O191" s="22" t="n">
        <v>44951</v>
      </c>
      <c r="P191" s="23" t="n">
        <v>0</v>
      </c>
      <c r="Q191" s="23" t="n">
        <v>0</v>
      </c>
      <c r="R191" s="24" t="n">
        <f aca="false">K191/(K191+L191)</f>
        <v>0.750415180120523</v>
      </c>
      <c r="S191" s="24" t="n">
        <f aca="false">M191/(M191+N191)</f>
        <v>0.61098302724345</v>
      </c>
      <c r="T191" s="24" t="n">
        <f aca="false">J191/G191</f>
        <v>0.268795543563408</v>
      </c>
      <c r="U191" s="21" t="n">
        <f aca="false">IF(AND(A191&gt;=Seasonality!$C$4,A191&lt;=Seasonality!$C$5),1,0)</f>
        <v>0</v>
      </c>
    </row>
    <row r="192" customFormat="false" ht="15" hidden="false" customHeight="false" outlineLevel="0" collapsed="false">
      <c r="A192" s="20" t="n">
        <v>46266</v>
      </c>
      <c r="B192" s="21" t="s">
        <v>58</v>
      </c>
      <c r="C192" s="21" t="s">
        <v>54</v>
      </c>
      <c r="D192" s="21" t="s">
        <v>85</v>
      </c>
      <c r="E192" s="21" t="s">
        <v>102</v>
      </c>
      <c r="F192" s="22" t="n">
        <v>2444743</v>
      </c>
      <c r="G192" s="22" t="n">
        <v>1503149</v>
      </c>
      <c r="H192" s="22" t="n">
        <v>886081</v>
      </c>
      <c r="I192" s="22" t="n">
        <v>536158</v>
      </c>
      <c r="J192" s="22" t="n">
        <v>394675</v>
      </c>
      <c r="K192" s="22" t="n">
        <v>1817992</v>
      </c>
      <c r="L192" s="22" t="n">
        <v>626751</v>
      </c>
      <c r="M192" s="22" t="n">
        <v>910567</v>
      </c>
      <c r="N192" s="22" t="n">
        <v>592582</v>
      </c>
      <c r="O192" s="22" t="n">
        <v>50582</v>
      </c>
      <c r="P192" s="23" t="n">
        <v>0</v>
      </c>
      <c r="Q192" s="23" t="n">
        <v>0</v>
      </c>
      <c r="R192" s="24" t="n">
        <f aca="false">K192/(K192+L192)</f>
        <v>0.743633175348084</v>
      </c>
      <c r="S192" s="24" t="n">
        <f aca="false">M192/(M192+N192)</f>
        <v>0.605772947325914</v>
      </c>
      <c r="T192" s="24" t="n">
        <f aca="false">J192/G192</f>
        <v>0.262565454256364</v>
      </c>
      <c r="U192" s="21" t="n">
        <f aca="false">IF(AND(A192&gt;=Seasonality!$C$4,A192&lt;=Seasonality!$C$5),1,0)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2026-10-12T13:52:59Z</dcterms:created>
  <dc:creator>openpyxl</dc:creator>
  <dc:description/>
  <dc:language>en-US</dc:language>
  <cp:lastModifiedBy/>
  <dcterms:modified xsi:type="dcterms:W3CDTF">2026-10-12T14:53:02Z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